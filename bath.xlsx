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Bathtub\XLA_Reader\XLA_Reader\bin\Debug\net8.0-windows\"/>
    </mc:Choice>
  </mc:AlternateContent>
  <bookViews>
    <workbookView visibility="veryHidden" xWindow="32880" yWindow="3015" windowWidth="21600" windowHeight="11295" tabRatio="914" activeTab="1" xr2:uid="{C1FF5B57-F4BC-491A-826E-D4F13F7BF59E}"/>
  </bookViews>
  <sheets>
    <sheet name="Case Data" sheetId="40" r:id="rId1"/>
    <sheet name="Inputs" sheetId="2" r:id="rId2"/>
    <sheet name="CalibFactors" sheetId="29" r:id="rId3"/>
    <sheet name="Verify" sheetId="30" r:id="rId4"/>
    <sheet name="Sensitivity" sheetId="26" r:id="rId5"/>
    <sheet name="Calibrations" sheetId="27" r:id="rId6"/>
    <sheet name="Hydraulics" sheetId="12" r:id="rId7"/>
    <sheet name="Overall Balances" sheetId="13" r:id="rId8"/>
    <sheet name="Segment Balances" sheetId="17" r:id="rId9"/>
    <sheet name="Summary Balances" sheetId="15" r:id="rId10"/>
    <sheet name="T tests" sheetId="18" r:id="rId11"/>
    <sheet name="Diagnostics" sheetId="20" r:id="rId12"/>
    <sheet name="Profiles" sheetId="19" r:id="rId13"/>
    <sheet name="Segment Network" sheetId="34" r:id="rId14"/>
    <sheet name="plot_plot" sheetId="38" r:id="rId15"/>
    <sheet name="Plot" sheetId="32" r:id="rId16"/>
    <sheet name="Plot Response" sheetId="37" r:id="rId17"/>
    <sheet name="Load Response" sheetId="35" r:id="rId18"/>
    <sheet name="Headers" sheetId="14" r:id="rId19"/>
    <sheet name="Key" sheetId="33" r:id="rId20"/>
  </sheets>
  <definedNames>
    <definedName name="Atmos_Loads">Inputs!$A$26</definedName>
    <definedName name="Calibration_Factors">Inputs!$A$149</definedName>
    <definedName name="casefile">Inputs!$D$1</definedName>
    <definedName name="categories">Inputs!$A$123</definedName>
    <definedName name="ch2_high">'Load Response'!$H$11:$H$46</definedName>
    <definedName name="ch2_low">'Load Response'!$G$11:$G$46</definedName>
    <definedName name="ch2_var">'Load Response'!$B$6</definedName>
    <definedName name="ch2_x">'Load Response'!$C$11:$C$46</definedName>
    <definedName name="ch2_xx">'Load Response'!$C$10</definedName>
    <definedName name="ch2_y">'Load Response'!$E$11:$E$46</definedName>
    <definedName name="ch2_yy">'Load Response'!$E$10</definedName>
    <definedName name="Global_Factors">Inputs!$A$20</definedName>
    <definedName name="header_calib">Headers!$A$76:$L$79</definedName>
    <definedName name="header_diag">Headers!$A$61:$G$63</definedName>
    <definedName name="header_diag_0">Headers!$A$61:$D$63</definedName>
    <definedName name="header_exchange">Headers!$A$92:$H$93</definedName>
    <definedName name="header_gross">Headers!$A$9:$K$12</definedName>
    <definedName name="header_gwbal">Headers!$A$1:$K$5</definedName>
    <definedName name="header_hydrau">Headers!$A$105:$J$108</definedName>
    <definedName name="header_in_areas">Headers!$A$195:$K$197</definedName>
    <definedName name="header_in_calibfactors">Headers!$A$185:$S$187</definedName>
    <definedName name="header_in_export">Headers!$A$200:$O$202</definedName>
    <definedName name="header_in_last">Headers!$A$214:$K$231</definedName>
    <definedName name="header_in_obswq">Headers!$A$179:$S$181</definedName>
    <definedName name="header_in_top">Headers!$A$148:$T$176</definedName>
    <definedName name="header_in_transport">Headers!$A$206:$J$208</definedName>
    <definedName name="header_in_tribs">Headers!$A$189:$R$191</definedName>
    <definedName name="header_listcal">Headers!$A$85:$G$86</definedName>
    <definedName name="header_mbal">Headers!$A$25:$J$27</definedName>
    <definedName name="header_morpho">Headers!$A$119:$I$121</definedName>
    <definedName name="header_plot">Headers!$A$139:$E$142</definedName>
    <definedName name="header_response">Headers!$A$129:$H$135</definedName>
    <definedName name="header_segbal">Headers!$A$33:$H$35</definedName>
    <definedName name="header_sensit">Headers!$A$68:$E$70</definedName>
    <definedName name="header_ttest1">Headers!$A$44:$A$47</definedName>
    <definedName name="header_ttest2">Headers!$A$51:$I$53</definedName>
    <definedName name="header_verify">Headers!$A$100:$I$102</definedName>
    <definedName name="header_wbal">Headers!$A$18:$J$20</definedName>
    <definedName name="model_options">Inputs!$A$168</definedName>
    <definedName name="Ncoef">Key!$A$121</definedName>
    <definedName name="Ndiagnostics">Key!$A$5</definedName>
    <definedName name="noptions">Key!$A$36</definedName>
    <definedName name="notes">Inputs!$C$9</definedName>
    <definedName name="Npipe">Inputs!$C$7</definedName>
    <definedName name="Nseg">Inputs!$C$5</definedName>
    <definedName name="Ntrib">Inputs!$C$6</definedName>
    <definedName name="opt_1">Inputs!$C$169</definedName>
    <definedName name="opt_10">Inputs!$C$178</definedName>
    <definedName name="opt_11">Inputs!$C$179</definedName>
    <definedName name="opt_2">Inputs!$C$170</definedName>
    <definedName name="opt_3">Inputs!$C$171</definedName>
    <definedName name="opt_4">Inputs!$C$172</definedName>
    <definedName name="opt_5">Inputs!$C$173</definedName>
    <definedName name="opt_6">Inputs!$C$174</definedName>
    <definedName name="opt_7">Inputs!$C$175</definedName>
    <definedName name="opt_8">Inputs!$C$176</definedName>
    <definedName name="opt_9">Inputs!$C$177</definedName>
    <definedName name="p_label">Plot!$B$3</definedName>
    <definedName name="p_obs">Plot!$D$7:$D$14</definedName>
    <definedName name="p_obs_se">Plot!$E$7:$E$14</definedName>
    <definedName name="p_pred">Plot!$B$7:$B$14</definedName>
    <definedName name="p_pred_se">Plot!$C$7:$C$14</definedName>
    <definedName name="p_segs">Plot!$A$7:$A$14</definedName>
    <definedName name="_xlnm.Print_Area" localSheetId="11">Diagnostics!$A$1:$H$234</definedName>
    <definedName name="_xlnm.Print_Area" localSheetId="12">Profiles!$A$1:$I$68</definedName>
    <definedName name="_xlnm.Print_Area" localSheetId="10">'T tests'!$A$1:$I$245</definedName>
    <definedName name="Segment_Data">Inputs!$A$33</definedName>
    <definedName name="sigma">Key!$B$3</definedName>
    <definedName name="Title">Inputs!$C$3</definedName>
    <definedName name="tolerance">Key!$B$4</definedName>
    <definedName name="Transport_Channels">Inputs!$A$139</definedName>
    <definedName name="tributary_data">Inputs!$A$95</definedName>
    <definedName name="version">Inputs!$F$1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4" i="33" l="1"/>
  <c r="A125" i="33" s="1"/>
  <c r="A126" i="33" s="1"/>
  <c r="A127" i="33" s="1"/>
  <c r="A128" i="33" s="1"/>
  <c r="A129" i="33" s="1"/>
  <c r="A130" i="33" s="1"/>
  <c r="A131" i="33" s="1"/>
  <c r="A132" i="33" s="1"/>
  <c r="A133" i="33" s="1"/>
  <c r="A134" i="33" s="1"/>
  <c r="A135" i="33" s="1"/>
  <c r="A136" i="33" s="1"/>
  <c r="A5" i="33"/>
  <c r="B114" i="2"/>
  <c r="B115" i="2"/>
  <c r="B116" i="2"/>
  <c r="B117" i="2"/>
  <c r="B118" i="2"/>
  <c r="B119" i="2"/>
  <c r="B120" i="2"/>
  <c r="B121" i="2"/>
</calcChain>
</file>

<file path=xl/sharedStrings.xml><?xml version="1.0" encoding="utf-8"?>
<sst xmlns="http://schemas.openxmlformats.org/spreadsheetml/2006/main" count="3483" uniqueCount="637">
  <si>
    <t>Global Variables</t>
  </si>
  <si>
    <t>TOTAL P    MG/M3</t>
  </si>
  <si>
    <t>TOTAL N    MG/M3</t>
  </si>
  <si>
    <t>C.NUTRIENT MG/M3</t>
  </si>
  <si>
    <t>CHL-A      MG/M3</t>
  </si>
  <si>
    <t>SECCHI         M</t>
  </si>
  <si>
    <t>ORGANIC N  MG/M3</t>
  </si>
  <si>
    <t>TP-ORTHO-P MG/M3</t>
  </si>
  <si>
    <t>TURBIDITY    1/M</t>
  </si>
  <si>
    <t>ZMIX * TURBIDITY</t>
  </si>
  <si>
    <t>FREQ(CHL-a&gt;10) %</t>
  </si>
  <si>
    <t>FREQ(CHL-a&gt;20) %</t>
  </si>
  <si>
    <t>FREQ(CHL-a&gt;30) %</t>
  </si>
  <si>
    <t>FREQ(CHL-a&gt;40) %</t>
  </si>
  <si>
    <t>FREQ(CHL-a&gt;50) %</t>
  </si>
  <si>
    <t>FREQ(CHL-a&gt;60) %</t>
  </si>
  <si>
    <t>CARLSON TSI-CHLA</t>
  </si>
  <si>
    <t>Zmean</t>
  </si>
  <si>
    <t>Length</t>
  </si>
  <si>
    <t>Volume</t>
  </si>
  <si>
    <t>Width</t>
  </si>
  <si>
    <t>L/W</t>
  </si>
  <si>
    <t>m</t>
  </si>
  <si>
    <t>km</t>
  </si>
  <si>
    <r>
      <t>hm</t>
    </r>
    <r>
      <rPr>
        <b/>
        <u/>
        <vertAlign val="superscript"/>
        <sz val="10"/>
        <rFont val="Arial"/>
        <family val="2"/>
      </rPr>
      <t>3</t>
    </r>
  </si>
  <si>
    <t>Morphometry</t>
  </si>
  <si>
    <t>Dispersion--------&gt;</t>
  </si>
  <si>
    <t>Disch.</t>
  </si>
  <si>
    <t>Segment Mass Balance Based Upon Predicted Concentrations</t>
  </si>
  <si>
    <t xml:space="preserve">  Log (Obs/Pred)</t>
  </si>
  <si>
    <t xml:space="preserve">   Predicted</t>
  </si>
  <si>
    <t xml:space="preserve">   Observed</t>
  </si>
  <si>
    <t xml:space="preserve"> 2 =  Error Typical of Model Development Dataset</t>
  </si>
  <si>
    <t>same as chl-a</t>
  </si>
  <si>
    <t>same as tp</t>
  </si>
  <si>
    <t>same as -secchi</t>
  </si>
  <si>
    <t>Load / Response</t>
  </si>
  <si>
    <t>c:\0jobs\bathtub\default.btb</t>
  </si>
  <si>
    <t>Tributary:</t>
  </si>
  <si>
    <t>Variable:</t>
  </si>
  <si>
    <t>Low</t>
  </si>
  <si>
    <t>High</t>
  </si>
  <si>
    <t>OBSERVED STANDARD ERRORS</t>
  </si>
  <si>
    <t>CONSERVATIVE SUB</t>
  </si>
  <si>
    <t>HOD-V  MG/M3-DAY</t>
  </si>
  <si>
    <t>MOD-V  MG/M3-DAY</t>
  </si>
  <si>
    <t>PREDICTED STANDARD ERRORS</t>
  </si>
  <si>
    <t>Outflows------&gt;</t>
  </si>
  <si>
    <t>Outflows-----&gt;</t>
  </si>
  <si>
    <r>
      <t>Diffusive Exchange Terms (hm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/yr)</t>
    </r>
  </si>
  <si>
    <t>Keystone Reservoir, Oklahoma</t>
  </si>
  <si>
    <t>ARKANSAS OUTFLOW</t>
  </si>
  <si>
    <t>ARKANSAS INFLOW</t>
  </si>
  <si>
    <t>HELLROARING</t>
  </si>
  <si>
    <t>CIMARRON</t>
  </si>
  <si>
    <t>LAGOON</t>
  </si>
  <si>
    <t>UNGAUGED-SEG 1</t>
  </si>
  <si>
    <t>UNGAUGED-SEG 2</t>
  </si>
  <si>
    <t>UNGAUGED-SEG 4</t>
  </si>
  <si>
    <t>UNGAUGED-SEG 5</t>
  </si>
  <si>
    <t>UNGAUGED-SEG 6</t>
  </si>
  <si>
    <t>CLEVELAND STPS</t>
  </si>
  <si>
    <t>CIMARRON STPS</t>
  </si>
  <si>
    <t>MANNFORD STP</t>
  </si>
  <si>
    <t>Base:</t>
  </si>
  <si>
    <t>headwater</t>
  </si>
  <si>
    <t>to rkm  20</t>
  </si>
  <si>
    <t>to rkm  30</t>
  </si>
  <si>
    <t>to rkm  40</t>
  </si>
  <si>
    <t>to rkm  50</t>
  </si>
  <si>
    <t>to rkm  60</t>
  </si>
  <si>
    <t>to rkm  70</t>
  </si>
  <si>
    <t>to rkm  80</t>
  </si>
  <si>
    <t>to rkm  90</t>
  </si>
  <si>
    <t>to rkm 100</t>
  </si>
  <si>
    <t>to rkm 110</t>
  </si>
  <si>
    <t>near dam</t>
  </si>
  <si>
    <t>Area</t>
  </si>
  <si>
    <t>Variance</t>
  </si>
  <si>
    <t>Runoff</t>
  </si>
  <si>
    <t xml:space="preserve"> -</t>
  </si>
  <si>
    <r>
      <t>km</t>
    </r>
    <r>
      <rPr>
        <b/>
        <u/>
        <vertAlign val="superscript"/>
        <sz val="10"/>
        <rFont val="Arial"/>
        <family val="2"/>
      </rPr>
      <t>2</t>
    </r>
  </si>
  <si>
    <r>
      <t>(hm3/yr)</t>
    </r>
    <r>
      <rPr>
        <b/>
        <u/>
        <vertAlign val="superscript"/>
        <sz val="10"/>
        <rFont val="Arial"/>
        <family val="2"/>
      </rPr>
      <t>2</t>
    </r>
  </si>
  <si>
    <t xml:space="preserve"> </t>
  </si>
  <si>
    <t>Segment:</t>
  </si>
  <si>
    <t>Load</t>
  </si>
  <si>
    <t>Trib</t>
  </si>
  <si>
    <t>T Statistics Compare Observed and Predicted Means Using the Following Error Terms:</t>
  </si>
  <si>
    <t xml:space="preserve"> 1 =  Observed Water Quality Error Only</t>
  </si>
  <si>
    <t xml:space="preserve"> 3  = Observed &amp; Predicted Error</t>
  </si>
  <si>
    <t>Predicted</t>
  </si>
  <si>
    <t>Variable</t>
  </si>
  <si>
    <t>Ratio</t>
  </si>
  <si>
    <t>T1</t>
  </si>
  <si>
    <t>T2</t>
  </si>
  <si>
    <t>T3</t>
  </si>
  <si>
    <t>Profile Sensitivity Analysis for</t>
  </si>
  <si>
    <t>Factor</t>
  </si>
  <si>
    <t>Sedim.</t>
  </si>
  <si>
    <t>Observed:</t>
  </si>
  <si>
    <t>End of Inputs</t>
  </si>
  <si>
    <t>Availability Factor - Total P</t>
  </si>
  <si>
    <t>Availability Factor - Total N</t>
  </si>
  <si>
    <t>Availability Factor - Ortho P</t>
  </si>
  <si>
    <t>Availability Factor - Inorganic N</t>
  </si>
  <si>
    <t>Bathtub Input Screen</t>
  </si>
  <si>
    <t>Std Err</t>
  </si>
  <si>
    <t xml:space="preserve">     Predicted Values---&gt;</t>
  </si>
  <si>
    <t xml:space="preserve">     Observed Values---&gt;</t>
  </si>
  <si>
    <t>Label</t>
  </si>
  <si>
    <t>Chl-a</t>
  </si>
  <si>
    <t>Exchange (hm3/yr)</t>
  </si>
  <si>
    <t>Calib</t>
  </si>
  <si>
    <t>Obs-Est</t>
  </si>
  <si>
    <t>Conservative Substance Concs</t>
  </si>
  <si>
    <t>Global</t>
  </si>
  <si>
    <t>CV:</t>
  </si>
  <si>
    <t>Number of Channels</t>
  </si>
  <si>
    <t>ARKANSAS UPPER</t>
  </si>
  <si>
    <t>ARKANSAS MID</t>
  </si>
  <si>
    <t>ARKANSAS LOWER</t>
  </si>
  <si>
    <t>CIMARRON UPPER</t>
  </si>
  <si>
    <t>CIMARRON MID</t>
  </si>
  <si>
    <t>CIMARRON LOWER</t>
  </si>
  <si>
    <t>DAM AREA</t>
  </si>
  <si>
    <t>Channel Number</t>
  </si>
  <si>
    <t>Model Options</t>
  </si>
  <si>
    <t>Overall Water &amp; Nutrient Balances</t>
  </si>
  <si>
    <t>Overall Water Balance</t>
  </si>
  <si>
    <t xml:space="preserve">  Outflow &amp; Reservoir Concentrations</t>
  </si>
  <si>
    <t>Mass Balance Terms (kg/yr) Based Upon</t>
  </si>
  <si>
    <t xml:space="preserve">  Reservoir &amp; Outflow Concentrations</t>
  </si>
  <si>
    <t xml:space="preserve">  Observed</t>
  </si>
  <si>
    <t xml:space="preserve">  Predicted</t>
  </si>
  <si>
    <t xml:space="preserve"> Obs/Pred</t>
  </si>
  <si>
    <t>Overall Mass Balance Based Upon</t>
  </si>
  <si>
    <t>Check Flow &amp; Mass Balances</t>
  </si>
  <si>
    <t>Error</t>
  </si>
  <si>
    <t>%</t>
  </si>
  <si>
    <t>Adv. Outflow</t>
  </si>
  <si>
    <t>Load (kg/yr)</t>
  </si>
  <si>
    <r>
      <t>Flow (hm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/y)</t>
    </r>
  </si>
  <si>
    <t>Segment</t>
  </si>
  <si>
    <t>Name</t>
  </si>
  <si>
    <t>Outflow</t>
  </si>
  <si>
    <t>Net</t>
  </si>
  <si>
    <t>Inflow</t>
  </si>
  <si>
    <t>Resid</t>
  </si>
  <si>
    <t>Time</t>
  </si>
  <si>
    <t>Overflow</t>
  </si>
  <si>
    <t>Rate</t>
  </si>
  <si>
    <t>Estimated</t>
  </si>
  <si>
    <t>Numeric</t>
  </si>
  <si>
    <t>Exchange</t>
  </si>
  <si>
    <t>m/yr</t>
  </si>
  <si>
    <t>years</t>
  </si>
  <si>
    <t>Hydraulic &amp; Dispersion Parameters</t>
  </si>
  <si>
    <t>Velocity</t>
  </si>
  <si>
    <t>km/yr</t>
  </si>
  <si>
    <t>Type</t>
  </si>
  <si>
    <t>Location</t>
  </si>
  <si>
    <t>Flow</t>
  </si>
  <si>
    <t>Component:</t>
  </si>
  <si>
    <t>kg/yr</t>
  </si>
  <si>
    <t>Conc</t>
  </si>
  <si>
    <t>Export</t>
  </si>
  <si>
    <t>hm3/yr</t>
  </si>
  <si>
    <t>mg/m3</t>
  </si>
  <si>
    <t>Scale</t>
  </si>
  <si>
    <t xml:space="preserve"> Name</t>
  </si>
  <si>
    <t xml:space="preserve"> ARKANSAS UPPER</t>
  </si>
  <si>
    <t xml:space="preserve"> ARKANSAS MID</t>
  </si>
  <si>
    <t xml:space="preserve"> ARKANSAS LOWER</t>
  </si>
  <si>
    <t xml:space="preserve"> CIMARRON UPPER</t>
  </si>
  <si>
    <t xml:space="preserve"> CIMARRON MID</t>
  </si>
  <si>
    <t xml:space="preserve"> CIMARRON LOWER</t>
  </si>
  <si>
    <t xml:space="preserve"> DAM AREA</t>
  </si>
  <si>
    <t>Averaging Period (yrs)</t>
  </si>
  <si>
    <t>Total P</t>
  </si>
  <si>
    <t>Ortho P</t>
  </si>
  <si>
    <t>Total N</t>
  </si>
  <si>
    <t>Inorganic N</t>
  </si>
  <si>
    <t>Conserv. Substance</t>
  </si>
  <si>
    <t>Mean</t>
  </si>
  <si>
    <t>CV</t>
  </si>
  <si>
    <r>
      <t>hm</t>
    </r>
    <r>
      <rPr>
        <b/>
        <u/>
        <vertAlign val="superscript"/>
        <sz val="10"/>
        <rFont val="Arial"/>
        <family val="2"/>
      </rPr>
      <t>3</t>
    </r>
    <r>
      <rPr>
        <b/>
        <u/>
        <sz val="10"/>
        <rFont val="Arial"/>
        <family val="2"/>
      </rPr>
      <t>/yr</t>
    </r>
  </si>
  <si>
    <r>
      <t>km</t>
    </r>
    <r>
      <rPr>
        <b/>
        <u/>
        <vertAlign val="superscript"/>
        <sz val="10"/>
        <rFont val="Arial"/>
        <family val="2"/>
      </rPr>
      <t>2</t>
    </r>
    <r>
      <rPr>
        <b/>
        <u/>
        <sz val="10"/>
        <rFont val="Arial"/>
        <family val="2"/>
      </rPr>
      <t>/yr</t>
    </r>
  </si>
  <si>
    <r>
      <t>(kg/yr)</t>
    </r>
    <r>
      <rPr>
        <b/>
        <u/>
        <vertAlign val="superscript"/>
        <sz val="10"/>
        <rFont val="Arial"/>
        <family val="2"/>
      </rPr>
      <t>2</t>
    </r>
  </si>
  <si>
    <r>
      <t>kg/km</t>
    </r>
    <r>
      <rPr>
        <b/>
        <u/>
        <vertAlign val="superscript"/>
        <sz val="10"/>
        <rFont val="Arial"/>
        <family val="2"/>
      </rPr>
      <t>2</t>
    </r>
    <r>
      <rPr>
        <b/>
        <u/>
        <sz val="10"/>
        <rFont val="Arial"/>
        <family val="2"/>
      </rPr>
      <t>/yr</t>
    </r>
  </si>
  <si>
    <r>
      <t>mg/m</t>
    </r>
    <r>
      <rPr>
        <b/>
        <u/>
        <vertAlign val="superscript"/>
        <sz val="10"/>
        <rFont val="Arial"/>
        <family val="2"/>
      </rPr>
      <t>3</t>
    </r>
  </si>
  <si>
    <t>Load Variance</t>
  </si>
  <si>
    <t xml:space="preserve"> T-Statistics ----&gt;</t>
  </si>
  <si>
    <t>Inflows--&gt;</t>
  </si>
  <si>
    <t>%Total</t>
  </si>
  <si>
    <t>File:</t>
  </si>
  <si>
    <t>Precipitation (m)</t>
  </si>
  <si>
    <t>Evaporation (m)</t>
  </si>
  <si>
    <t>Storage Increase (m)</t>
  </si>
  <si>
    <t>Mixed Depth (m)</t>
  </si>
  <si>
    <t>Non-Algal Turb (1/m)</t>
  </si>
  <si>
    <t>Hypol. Depth (m)</t>
  </si>
  <si>
    <t>Total P (ppb)</t>
  </si>
  <si>
    <t>Total N (ppb)</t>
  </si>
  <si>
    <t>Chlorophyll-a (ppb)</t>
  </si>
  <si>
    <t>Secchi (m)</t>
  </si>
  <si>
    <t>Metal. O2 Depl  (ppb/day)</t>
  </si>
  <si>
    <t>Hypo. O2 Depl (ppb/day)</t>
  </si>
  <si>
    <t>Segment Number</t>
  </si>
  <si>
    <t>Segment Name</t>
  </si>
  <si>
    <t>Mean Depth (m)</t>
  </si>
  <si>
    <t>Length (km)</t>
  </si>
  <si>
    <t>Calibration Factors</t>
  </si>
  <si>
    <t>Total P - Ortho P (ppb)</t>
  </si>
  <si>
    <t>Organic N (ppb)</t>
  </si>
  <si>
    <t>Observed</t>
  </si>
  <si>
    <t>Dispersion Rate</t>
  </si>
  <si>
    <t>Chlorophyll-a</t>
  </si>
  <si>
    <t>Secchi</t>
  </si>
  <si>
    <t>Observed Water Quality</t>
  </si>
  <si>
    <t>Segment Morphometry</t>
  </si>
  <si>
    <t>Conservative Subst</t>
  </si>
  <si>
    <t>Outflow Segment Number</t>
  </si>
  <si>
    <t>Segment Group Number</t>
  </si>
  <si>
    <t>Segment Data</t>
  </si>
  <si>
    <t>Flow (hm3/yr)</t>
  </si>
  <si>
    <t>Ortho P (ppb)</t>
  </si>
  <si>
    <t>Inorganic N (ppb)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</si>
  <si>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</si>
  <si>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</si>
  <si>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</si>
  <si>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</si>
  <si>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</si>
  <si>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</si>
  <si>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</si>
  <si>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</si>
  <si>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Tributary Name</t>
  </si>
  <si>
    <t>Tributary Number</t>
  </si>
  <si>
    <t>Tributary Type Code</t>
  </si>
  <si>
    <t>Chl-a Model</t>
  </si>
  <si>
    <t>Secchi Model</t>
  </si>
  <si>
    <t>Organic N Model</t>
  </si>
  <si>
    <t>TP-OP Model</t>
  </si>
  <si>
    <t>External</t>
  </si>
  <si>
    <t>Precip</t>
  </si>
  <si>
    <t>Advect</t>
  </si>
  <si>
    <t>Increase</t>
  </si>
  <si>
    <t>Evap</t>
  </si>
  <si>
    <t>Inflows</t>
  </si>
  <si>
    <t>Storage</t>
  </si>
  <si>
    <t>Downstr</t>
  </si>
  <si>
    <t>Water Balance Terms (hm3/yr)</t>
  </si>
  <si>
    <t>Seg</t>
  </si>
  <si>
    <t>Atmos</t>
  </si>
  <si>
    <t>Retention</t>
  </si>
  <si>
    <t>HODv Model</t>
  </si>
  <si>
    <t>MODv Model</t>
  </si>
  <si>
    <t>Secchi/Chla Slope (m2/mg)</t>
  </si>
  <si>
    <t>Chl-a Temporal CV</t>
  </si>
  <si>
    <t>Minimum Qs (m/yr)</t>
  </si>
  <si>
    <t>Chl-a Flushing Term</t>
  </si>
  <si>
    <t>Runoff (m/yr)</t>
  </si>
  <si>
    <t>Conserv. Subs.</t>
  </si>
  <si>
    <t>Segment &amp; Tributary Network</t>
  </si>
  <si>
    <t>Category Number</t>
  </si>
  <si>
    <t>From Segment Number</t>
  </si>
  <si>
    <t>To Segment Number</t>
  </si>
  <si>
    <t>Channel Name</t>
  </si>
  <si>
    <t>Conserv. Subst ( - )</t>
  </si>
  <si>
    <t>Internal Loading Rates (mg/m2-day)</t>
  </si>
  <si>
    <t>Conservative Substance</t>
  </si>
  <si>
    <t>Tributary Data</t>
  </si>
  <si>
    <t>Total Nitrogen</t>
  </si>
  <si>
    <t>Total Phosphorus</t>
  </si>
  <si>
    <t>Transport Channels</t>
  </si>
  <si>
    <t>TOTAL P</t>
  </si>
  <si>
    <t>TOTAL N</t>
  </si>
  <si>
    <t>C.NUTR</t>
  </si>
  <si>
    <t>CHL-A</t>
  </si>
  <si>
    <t>SECCHI</t>
  </si>
  <si>
    <t>ORG-N</t>
  </si>
  <si>
    <t>TP-OP</t>
  </si>
  <si>
    <t>HOD-V</t>
  </si>
  <si>
    <t>MOD-V</t>
  </si>
  <si>
    <t>PC-1</t>
  </si>
  <si>
    <t>ANTILOG PC-1</t>
  </si>
  <si>
    <t>PC-2</t>
  </si>
  <si>
    <t>ANTILOG PC-2</t>
  </si>
  <si>
    <t>N-150/P</t>
  </si>
  <si>
    <t>(N - 150) / P</t>
  </si>
  <si>
    <t>INORGANIC N / P</t>
  </si>
  <si>
    <t>TURBID</t>
  </si>
  <si>
    <t>ZMX*TUR</t>
  </si>
  <si>
    <t>ZMX/SEC</t>
  </si>
  <si>
    <t>ZMIX / SECCHI</t>
  </si>
  <si>
    <t>CHL*SEC</t>
  </si>
  <si>
    <t>CHL-A * SECCHI</t>
  </si>
  <si>
    <t>CHL/TP</t>
  </si>
  <si>
    <t>CHL-A / TOTAL P</t>
  </si>
  <si>
    <t>%CHL&gt;10</t>
  </si>
  <si>
    <t>%CHL&gt;20</t>
  </si>
  <si>
    <t>%CHL&gt;30</t>
  </si>
  <si>
    <t>%CHL&gt;40</t>
  </si>
  <si>
    <t>%CHL&gt;50</t>
  </si>
  <si>
    <t>%CHL&gt;60</t>
  </si>
  <si>
    <t>TSI-P</t>
  </si>
  <si>
    <t>CARLSON TSI-P</t>
  </si>
  <si>
    <t>TSI-C</t>
  </si>
  <si>
    <t>TSI-S</t>
  </si>
  <si>
    <t>CARLSON TSI-SEC</t>
  </si>
  <si>
    <t>CONSERV</t>
  </si>
  <si>
    <t>Gmean</t>
  </si>
  <si>
    <t>Min</t>
  </si>
  <si>
    <t>Max</t>
  </si>
  <si>
    <t>Long Name</t>
  </si>
  <si>
    <t>Log</t>
  </si>
  <si>
    <t>Index</t>
  </si>
  <si>
    <t>Diagnostic Variables</t>
  </si>
  <si>
    <t>ErrorCV</t>
  </si>
  <si>
    <t>INOR-N/P</t>
  </si>
  <si>
    <t>Short Name</t>
  </si>
  <si>
    <t>Sigma</t>
  </si>
  <si>
    <t>number of standard errors plotted</t>
  </si>
  <si>
    <t>CONSERVATIVE SUBSTANCE</t>
  </si>
  <si>
    <t>NOT COMPUTED</t>
  </si>
  <si>
    <t>COMPUTED</t>
  </si>
  <si>
    <t/>
  </si>
  <si>
    <t>PHOSPHORUS BALANCE</t>
  </si>
  <si>
    <t>2ND ORDER, AVAIL P</t>
  </si>
  <si>
    <t>2ND ORDER, DECAY</t>
  </si>
  <si>
    <t>2ND ORDER, FIXED</t>
  </si>
  <si>
    <t>VOLLENWEIDER</t>
  </si>
  <si>
    <t>FIRST ORDER</t>
  </si>
  <si>
    <t>SETTLING VELOCITY</t>
  </si>
  <si>
    <t>NITROGEN BALANCE</t>
  </si>
  <si>
    <t>2ND ORDER, AVAIL N</t>
  </si>
  <si>
    <t>BACHMAN VOL. LOAD</t>
  </si>
  <si>
    <t>BACHMAN FLUSHING</t>
  </si>
  <si>
    <t>CHLOROPHYLL-A</t>
  </si>
  <si>
    <t>P, N, LIGHT, T</t>
  </si>
  <si>
    <t>P, LIGHT, T</t>
  </si>
  <si>
    <t>P, N, LOW-TURBIDITY</t>
  </si>
  <si>
    <t>P, LINEAR</t>
  </si>
  <si>
    <t>P, JONES &amp; BACHMAN</t>
  </si>
  <si>
    <t>SECCHI DEPTH</t>
  </si>
  <si>
    <t>VS. CHLA &amp; TURBIDITY</t>
  </si>
  <si>
    <t>VS. COMPOSITE NUTRIENT</t>
  </si>
  <si>
    <t>VS. TOTAL P</t>
  </si>
  <si>
    <t>DISPERSION</t>
  </si>
  <si>
    <t>NONE</t>
  </si>
  <si>
    <t>FISCHER-NUMERIC</t>
  </si>
  <si>
    <t>CONSTANT-NUMERIC</t>
  </si>
  <si>
    <t>INPUT EXCHANGE</t>
  </si>
  <si>
    <t>FISCHER</t>
  </si>
  <si>
    <t>CONSTANT</t>
  </si>
  <si>
    <t>PHOSPHORUS CALIBRATION</t>
  </si>
  <si>
    <t>DECAY RATES</t>
  </si>
  <si>
    <t>CONCENTRATIONS</t>
  </si>
  <si>
    <t>NITROGEN CALIBRATION</t>
  </si>
  <si>
    <t>ERROR ANALYSIS</t>
  </si>
  <si>
    <t>MODEL &amp; DATA</t>
  </si>
  <si>
    <t>MODEL ONLY</t>
  </si>
  <si>
    <t>DATA ONLY</t>
  </si>
  <si>
    <t>AVAILABILITY FACTORS</t>
  </si>
  <si>
    <t>IGNORE</t>
  </si>
  <si>
    <t>USE FOR MODEL 1 ONLY</t>
  </si>
  <si>
    <t>ALL MODELS EXCEPT 2</t>
  </si>
  <si>
    <t>MASS-BALANCE TABLES</t>
  </si>
  <si>
    <t>USE OBSERVED CONCS</t>
  </si>
  <si>
    <t>USE ESTIMATED CONCS</t>
  </si>
  <si>
    <t>Model Parameters</t>
  </si>
  <si>
    <t>NAME------------&gt;</t>
  </si>
  <si>
    <t>MEAN---&gt;</t>
  </si>
  <si>
    <t>CV-----&gt;</t>
  </si>
  <si>
    <t>P DECAY RATE</t>
  </si>
  <si>
    <t>N DECAY RATE</t>
  </si>
  <si>
    <t>CHL-A MODEL</t>
  </si>
  <si>
    <t>SECCHI MODEL</t>
  </si>
  <si>
    <t>Outflow Segment:</t>
  </si>
  <si>
    <t>Monitored Inflow</t>
  </si>
  <si>
    <t>Point Source</t>
  </si>
  <si>
    <t>Out of Reservoir</t>
  </si>
  <si>
    <t>Reservoir Outflow</t>
  </si>
  <si>
    <t>ORGANIC N MODEL</t>
  </si>
  <si>
    <t>TP-OP MODEL</t>
  </si>
  <si>
    <t>HODV MODEL</t>
  </si>
  <si>
    <t>MODV MODEL</t>
  </si>
  <si>
    <t>BETA  M2/MG</t>
  </si>
  <si>
    <t>MINIMUM QS</t>
  </si>
  <si>
    <t>FLUSHING EFFECT</t>
  </si>
  <si>
    <t>CHLOROPHYLL-A CV</t>
  </si>
  <si>
    <t>Bathtub Key</t>
  </si>
  <si>
    <t>Default</t>
  </si>
  <si>
    <t>Tolerance</t>
  </si>
  <si>
    <t>solution tolerance</t>
  </si>
  <si>
    <t>Avail Factor - TP</t>
  </si>
  <si>
    <t>Avail Factor - TN</t>
  </si>
  <si>
    <t>Avail Factor - Ortho P</t>
  </si>
  <si>
    <t>Avail Factor - Inorganic N</t>
  </si>
  <si>
    <t>DISPERSION RATE</t>
  </si>
  <si>
    <t>Area-Wtd Mean</t>
  </si>
  <si>
    <t>Variable =</t>
  </si>
  <si>
    <t>Global Calibration Factor =</t>
  </si>
  <si>
    <t>Calibration Factor</t>
  </si>
  <si>
    <t>SE</t>
  </si>
  <si>
    <t>t</t>
  </si>
  <si>
    <r>
      <t>R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=</t>
    </r>
  </si>
  <si>
    <t>PREDICTED CONCENTRATIONS:</t>
  </si>
  <si>
    <t>Variable  Segment--&gt;</t>
  </si>
  <si>
    <t>OBSERVED CONCENTRATIONS:</t>
  </si>
  <si>
    <t>OBSERVED/PREDICTED RATIOS:</t>
  </si>
  <si>
    <r>
      <t>Atmos. Loads (kg/km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-yr)</t>
    </r>
  </si>
  <si>
    <r>
      <t>Surface Area (km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>)</t>
    </r>
  </si>
  <si>
    <r>
      <t>Drainage Area (km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>)</t>
    </r>
  </si>
  <si>
    <r>
      <t>NonPoint Source Areas (km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>)</t>
    </r>
  </si>
  <si>
    <r>
      <t>Advective Flow (hm</t>
    </r>
    <r>
      <rPr>
        <vertAlign val="superscript"/>
        <sz val="10"/>
        <rFont val="Arial"/>
        <family val="2"/>
      </rPr>
      <t>3</t>
    </r>
    <r>
      <rPr>
        <sz val="10"/>
        <rFont val="Arial"/>
      </rPr>
      <t>/yr)</t>
    </r>
  </si>
  <si>
    <r>
      <t>Diffusive Exchange (hm</t>
    </r>
    <r>
      <rPr>
        <vertAlign val="superscript"/>
        <sz val="10"/>
        <rFont val="Arial"/>
        <family val="2"/>
      </rPr>
      <t>3</t>
    </r>
    <r>
      <rPr>
        <sz val="10"/>
        <rFont val="Arial"/>
      </rPr>
      <t>/yr)</t>
    </r>
  </si>
  <si>
    <t>Phosphorus Balance</t>
  </si>
  <si>
    <t>Nitrogen Balance</t>
  </si>
  <si>
    <t>Error Analysis</t>
  </si>
  <si>
    <t>Availability Factors</t>
  </si>
  <si>
    <t>Mass-Balance Tables</t>
  </si>
  <si>
    <t>Output Eestination</t>
  </si>
  <si>
    <t>Model Coefficients ( Mean, CV)</t>
  </si>
  <si>
    <t>Case Title</t>
  </si>
  <si>
    <t>Rank</t>
  </si>
  <si>
    <t xml:space="preserve"> MODEL OPTIONS</t>
  </si>
  <si>
    <t>Dispersion</t>
  </si>
  <si>
    <t>Secchi Depth</t>
  </si>
  <si>
    <t>Phosphorus Calibration</t>
  </si>
  <si>
    <t>Nitrogen Calibration</t>
  </si>
  <si>
    <t>Number of Segments</t>
  </si>
  <si>
    <t>Number of Tributaries</t>
  </si>
  <si>
    <t>Notes</t>
  </si>
  <si>
    <t>Group</t>
  </si>
  <si>
    <t>OUTPUT DESTINATION</t>
  </si>
  <si>
    <t>TEXT BOX</t>
  </si>
  <si>
    <t>NOTEPAD</t>
  </si>
  <si>
    <t>EXCEL WORKSHEET</t>
  </si>
  <si>
    <t xml:space="preserve">CV = </t>
  </si>
  <si>
    <t>All</t>
  </si>
  <si>
    <t>landuse1</t>
  </si>
  <si>
    <t>landuse2</t>
  </si>
  <si>
    <t>landuse3</t>
  </si>
  <si>
    <t>landuse4</t>
  </si>
  <si>
    <t>line 1</t>
  </si>
  <si>
    <t>line 2</t>
  </si>
  <si>
    <t>line 3</t>
  </si>
  <si>
    <t>line 4</t>
  </si>
  <si>
    <t>line 5</t>
  </si>
  <si>
    <t>line 6</t>
  </si>
  <si>
    <t>line 7</t>
  </si>
  <si>
    <t>line 8</t>
  </si>
  <si>
    <t>line 9</t>
  </si>
  <si>
    <t>line 10</t>
  </si>
  <si>
    <t>-----------Segment:</t>
  </si>
  <si>
    <t>Type:</t>
  </si>
  <si>
    <t>Totals</t>
  </si>
  <si>
    <t>PRECIPITATION</t>
  </si>
  <si>
    <t>TRIBUTARY INFLOW</t>
  </si>
  <si>
    <t>POINT-SOURCE INFLOW</t>
  </si>
  <si>
    <t>***TOTAL INFLOW</t>
  </si>
  <si>
    <t>GAUGED OUTFLOW</t>
  </si>
  <si>
    <t>ADVECTIVE OUTFLOW</t>
  </si>
  <si>
    <t>***TOTAL OUTFLOW</t>
  </si>
  <si>
    <t>***EVAPORATION</t>
  </si>
  <si>
    <t>***RETENTION</t>
  </si>
  <si>
    <t>Overflow Rate (m/yr)</t>
  </si>
  <si>
    <t>Hydraulic Resid. Time (yrs)</t>
  </si>
  <si>
    <t>Reservoir Conc (mg/m3)</t>
  </si>
  <si>
    <t>Nutrient Resid. Time (yrs)</t>
  </si>
  <si>
    <t>Turnover Ratio</t>
  </si>
  <si>
    <t>Retention Coef.</t>
  </si>
  <si>
    <t>NET DIFFUSIVE OUTFLOW</t>
  </si>
  <si>
    <t>Hyd. Residence Time =</t>
  </si>
  <si>
    <t xml:space="preserve"> yrs</t>
  </si>
  <si>
    <t>Overflow Rate =</t>
  </si>
  <si>
    <t xml:space="preserve"> m/yr</t>
  </si>
  <si>
    <t>Mean Depth =</t>
  </si>
  <si>
    <t xml:space="preserve"> m</t>
  </si>
  <si>
    <t>ADVECTIVE INFLOW</t>
  </si>
  <si>
    <t>NET DIFFUSIVE INFLOW</t>
  </si>
  <si>
    <t>Predicted &amp; Observed Values Ranked Against CE Model Development Dataset</t>
  </si>
  <si>
    <t xml:space="preserve"> Area-Wtd Mean</t>
  </si>
  <si>
    <t xml:space="preserve"> CHL-A      MG/M3</t>
  </si>
  <si>
    <t xml:space="preserve"> Segment -&gt;</t>
  </si>
  <si>
    <t>Land Use Name</t>
  </si>
  <si>
    <t>Non-Point Source Export Coefficients</t>
  </si>
  <si>
    <t>Depth</t>
  </si>
  <si>
    <t>Hypol Depth</t>
  </si>
  <si>
    <t>HOD (ppb/day)</t>
  </si>
  <si>
    <t>MOD  (ppb/day)</t>
  </si>
  <si>
    <r>
      <t>Non-Algal Turb (m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</si>
  <si>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>Chl-a (ppb)</t>
  </si>
  <si>
    <t>Segment Observed Water Quality</t>
  </si>
  <si>
    <t>TP - Ortho P (ppb)</t>
  </si>
  <si>
    <t>Segment Calibration Factors</t>
  </si>
  <si>
    <t>Internal Loads  ( mg/m2-day)</t>
  </si>
  <si>
    <t>Conserv.</t>
  </si>
  <si>
    <t>Dr Area</t>
  </si>
  <si>
    <r>
      <t>Flow (hm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/yr)</t>
    </r>
  </si>
  <si>
    <t>Land Use Category---&gt;</t>
  </si>
  <si>
    <r>
      <t>Tributary Non-Point Source Drainage Areas (km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</si>
  <si>
    <t>Source</t>
  </si>
  <si>
    <t>Downstr.</t>
  </si>
  <si>
    <r>
      <t>Adv.Flow (hm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/yr)</t>
    </r>
  </si>
  <si>
    <r>
      <t>Diffusive Flow (hm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/yr)</t>
    </r>
  </si>
  <si>
    <t>Model Coefficients</t>
  </si>
  <si>
    <t>Description</t>
  </si>
  <si>
    <t>Code</t>
  </si>
  <si>
    <r>
      <t>Atmos. Loads (kg/km</t>
    </r>
    <r>
      <rPr>
        <b/>
        <u/>
        <vertAlign val="superscript"/>
        <sz val="10"/>
        <rFont val="Arial"/>
        <family val="2"/>
      </rPr>
      <t>2</t>
    </r>
    <r>
      <rPr>
        <b/>
        <u/>
        <sz val="10"/>
        <rFont val="Arial"/>
        <family val="2"/>
      </rPr>
      <t>-yr)</t>
    </r>
  </si>
  <si>
    <t>Description:</t>
  </si>
  <si>
    <t>Output Destination</t>
  </si>
  <si>
    <t>Chan</t>
  </si>
  <si>
    <t>Categ</t>
  </si>
  <si>
    <t>Trib Name</t>
  </si>
  <si>
    <t>Avail. Factor - Total P</t>
  </si>
  <si>
    <t>Avail. Factor - Ortho P</t>
  </si>
  <si>
    <t>Avail. Factor - Total N</t>
  </si>
  <si>
    <t>Avail. Factor - Inorganic N</t>
  </si>
  <si>
    <r>
      <t>Secchi/Chla Slope (m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>/mg)</t>
    </r>
  </si>
  <si>
    <t xml:space="preserve">Segment: </t>
  </si>
  <si>
    <t>Trb</t>
  </si>
  <si>
    <t>Lake Champlain 13 Segment Model   Calibration Data Set 3/90-2/92</t>
  </si>
  <si>
    <t>C:\0Jobs\Bathtub\CASES\CHAMP1.btb</t>
  </si>
  <si>
    <t>South Lake B</t>
  </si>
  <si>
    <t>South Lake A</t>
  </si>
  <si>
    <t>Port Henry</t>
  </si>
  <si>
    <t>Otter Creek</t>
  </si>
  <si>
    <t>Main Lake</t>
  </si>
  <si>
    <t>Shelburne Bay</t>
  </si>
  <si>
    <t>Burlington Bay</t>
  </si>
  <si>
    <t>Cumberland Bay</t>
  </si>
  <si>
    <t>Mallett's Bay</t>
  </si>
  <si>
    <t>Northeast Arm</t>
  </si>
  <si>
    <t>St Albans Bay</t>
  </si>
  <si>
    <t>Missisquoi Bay</t>
  </si>
  <si>
    <t>Isle La Motte</t>
  </si>
  <si>
    <t>CONSERVATIVE SUBST.</t>
  </si>
  <si>
    <t>Mt. Hope</t>
  </si>
  <si>
    <t>Mettawee/Barge</t>
  </si>
  <si>
    <t>Poultney</t>
  </si>
  <si>
    <t>Ungaged 1 E</t>
  </si>
  <si>
    <t>Ungaged 1 W</t>
  </si>
  <si>
    <t>Whitehall WWTF</t>
  </si>
  <si>
    <t>***STORAGE INCREASE</t>
  </si>
  <si>
    <t>Mill (Putnam)</t>
  </si>
  <si>
    <t>East</t>
  </si>
  <si>
    <t>LaChute</t>
  </si>
  <si>
    <t>Putnam</t>
  </si>
  <si>
    <t>Ungaged 2 E</t>
  </si>
  <si>
    <t>Ungaged 2 W</t>
  </si>
  <si>
    <t>Ticonderoga WWTF</t>
  </si>
  <si>
    <t>Int. Paper WWTF</t>
  </si>
  <si>
    <t>IPCo Intake</t>
  </si>
  <si>
    <t>Mill (Port Henry</t>
  </si>
  <si>
    <t>Hoisington</t>
  </si>
  <si>
    <t>Ungaged 3 E</t>
  </si>
  <si>
    <t>Ungaged 3 W</t>
  </si>
  <si>
    <t>Port Henry WWTF</t>
  </si>
  <si>
    <t>Westport WWTF</t>
  </si>
  <si>
    <t>Tri-Town Intake</t>
  </si>
  <si>
    <t>Otter</t>
  </si>
  <si>
    <t>Little Otter</t>
  </si>
  <si>
    <t>Lewis</t>
  </si>
  <si>
    <t>Ungaged 4 E</t>
  </si>
  <si>
    <t>Ungaged 4 W</t>
  </si>
  <si>
    <t>Vergennes WWTF</t>
  </si>
  <si>
    <t>Bouquet</t>
  </si>
  <si>
    <t>Highlands</t>
  </si>
  <si>
    <t>Winooski</t>
  </si>
  <si>
    <t>Ausable</t>
  </si>
  <si>
    <t>L. Ausable</t>
  </si>
  <si>
    <t>Salmon</t>
  </si>
  <si>
    <t>Ungaged 5 E</t>
  </si>
  <si>
    <t>Ungaged 5 W</t>
  </si>
  <si>
    <t>Burl. N. WWTF</t>
  </si>
  <si>
    <t>Road Salt - Main</t>
  </si>
  <si>
    <t>Burl. Intake</t>
  </si>
  <si>
    <t>LaPlatte</t>
  </si>
  <si>
    <t>Ungaged 6 E</t>
  </si>
  <si>
    <t>S.F.D. #2 WWTF</t>
  </si>
  <si>
    <t>S.F.D. #1 WWTF</t>
  </si>
  <si>
    <t>S.B.B.B. WWTF</t>
  </si>
  <si>
    <t>CWD Intake</t>
  </si>
  <si>
    <t>Ungaged 7 E</t>
  </si>
  <si>
    <t>Burl. Main WWTF</t>
  </si>
  <si>
    <t>Saranac</t>
  </si>
  <si>
    <t>Ungaged 8 W</t>
  </si>
  <si>
    <t>Plattsburgh WWTF</t>
  </si>
  <si>
    <t>Platt/Champ. WWT</t>
  </si>
  <si>
    <t>Indian</t>
  </si>
  <si>
    <t>Malletts</t>
  </si>
  <si>
    <t>Lamoille</t>
  </si>
  <si>
    <t>Ungaged 9 E</t>
  </si>
  <si>
    <t>Stone Bridge</t>
  </si>
  <si>
    <t>Ungaged E</t>
  </si>
  <si>
    <t>St. Alb. Intake</t>
  </si>
  <si>
    <t>Swanton Intake</t>
  </si>
  <si>
    <t>Mill</t>
  </si>
  <si>
    <t>Stevens</t>
  </si>
  <si>
    <t>Ungaged 11 E</t>
  </si>
  <si>
    <t>St. Albans WWTF</t>
  </si>
  <si>
    <t>N.W. Corr. WWTF</t>
  </si>
  <si>
    <t>INTERNAL LOAD</t>
  </si>
  <si>
    <t>Missisquoi</t>
  </si>
  <si>
    <t>Rock</t>
  </si>
  <si>
    <t>Pike</t>
  </si>
  <si>
    <t>Ungaged 12 E</t>
  </si>
  <si>
    <t>Swanton WWTF</t>
  </si>
  <si>
    <t>Little Chazy</t>
  </si>
  <si>
    <t>Great Chazy</t>
  </si>
  <si>
    <t>Ungaged 13 W</t>
  </si>
  <si>
    <t>Wyeth-Ayerst WWT</t>
  </si>
  <si>
    <t>Richelieu Outlet</t>
  </si>
  <si>
    <t>Zmix</t>
  </si>
  <si>
    <t>Averaging Period =</t>
  </si>
  <si>
    <t>Years</t>
  </si>
  <si>
    <t>VS. TP, CARLSON TSI</t>
  </si>
  <si>
    <t>P, CARLSON TSI</t>
  </si>
  <si>
    <t>CANF &amp; BACH, LAKES</t>
  </si>
  <si>
    <t>CANF&amp; BACH, GENERAL</t>
  </si>
  <si>
    <t>CANF &amp;BACH, RESERV</t>
  </si>
  <si>
    <t xml:space="preserve">Conserv. </t>
  </si>
  <si>
    <t>Conserv</t>
  </si>
  <si>
    <t>C:\0Jobs\Bathtub\default.btb</t>
  </si>
  <si>
    <t>Default Case</t>
  </si>
  <si>
    <t>three segments in series</t>
  </si>
  <si>
    <t>suggested default values for model options &amp; model coefficients</t>
  </si>
  <si>
    <t xml:space="preserve">nitrogen budgets not modeled </t>
  </si>
  <si>
    <t>phosphorus budgets based upon total P only</t>
  </si>
  <si>
    <t>availability factors ignored</t>
  </si>
  <si>
    <t>Upper Pool</t>
  </si>
  <si>
    <t>Mid Pool</t>
  </si>
  <si>
    <t>Near Dam</t>
  </si>
  <si>
    <t>stream a</t>
  </si>
  <si>
    <t>stream b</t>
  </si>
  <si>
    <t>stream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</si>
</sst>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000"/>
    <numFmt numFmtId="166" formatCode="0.000"/>
    <numFmt numFmtId="167" formatCode="0.0"/>
    <numFmt numFmtId="172" formatCode="0.0%"/>
  </numFmts>
  <fonts count="13" x14ac:knownFonts="1">
    <font>
      <sz val="10"/>
      <name val="Arial"/>
    </font>
    <font>
      <sz val="10"/>
      <name val="Arial"/>
    </font>
    <font>
      <u/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vertAlign val="superscript"/>
      <sz val="10"/>
      <name val="Arial"/>
      <family val="2"/>
    </font>
    <font>
      <b/>
      <vertAlign val="superscript"/>
      <sz val="10"/>
      <name val="Arial"/>
      <family val="2"/>
    </font>
    <font>
      <b/>
      <u/>
      <sz val="10"/>
      <name val="Arial"/>
    </font>
    <font>
      <sz val="8"/>
      <name val="Arial"/>
    </font>
    <font>
      <vertAlign val="superscript"/>
      <sz val="10"/>
      <name val="Arial"/>
      <family val="2"/>
    </font>
    <font>
      <u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0" fillId="0" borderId="0" xfId="0" quotePrefix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left"/>
    </xf>
    <xf numFmtId="0" fontId="0" fillId="0" borderId="0" xfId="0" applyBorder="1"/>
    <xf numFmtId="0" fontId="1" fillId="0" borderId="2" xfId="0" quotePrefix="1" applyFont="1" applyBorder="1" applyAlignment="1">
      <alignment horizontal="left"/>
    </xf>
    <xf numFmtId="0" fontId="1" fillId="0" borderId="2" xfId="0" applyFont="1" applyBorder="1"/>
    <xf numFmtId="0" fontId="0" fillId="0" borderId="3" xfId="0" applyBorder="1"/>
    <xf numFmtId="0" fontId="3" fillId="0" borderId="0" xfId="0" applyFont="1"/>
    <xf numFmtId="0" fontId="0" fillId="0" borderId="4" xfId="0" applyBorder="1"/>
    <xf numFmtId="0" fontId="0" fillId="0" borderId="2" xfId="0" applyBorder="1"/>
    <xf numFmtId="0" fontId="0" fillId="0" borderId="2" xfId="0" quotePrefix="1" applyBorder="1" applyAlignment="1">
      <alignment horizontal="left"/>
    </xf>
    <xf numFmtId="0" fontId="0" fillId="0" borderId="5" xfId="0" applyBorder="1"/>
    <xf numFmtId="0" fontId="0" fillId="0" borderId="0" xfId="0" applyBorder="1" applyAlignment="1">
      <alignment horizontal="center"/>
    </xf>
    <xf numFmtId="0" fontId="0" fillId="0" borderId="5" xfId="0" quotePrefix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6" xfId="0" applyFill="1" applyBorder="1"/>
    <xf numFmtId="0" fontId="3" fillId="0" borderId="0" xfId="0" quotePrefix="1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0" fillId="2" borderId="7" xfId="0" applyFill="1" applyBorder="1"/>
    <xf numFmtId="0" fontId="0" fillId="3" borderId="1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2" fillId="0" borderId="2" xfId="0" quotePrefix="1" applyFont="1" applyBorder="1" applyAlignment="1">
      <alignment horizontal="left"/>
    </xf>
    <xf numFmtId="0" fontId="0" fillId="2" borderId="10" xfId="0" applyFill="1" applyBorder="1"/>
    <xf numFmtId="0" fontId="0" fillId="3" borderId="4" xfId="0" applyFill="1" applyBorder="1" applyAlignment="1" applyProtection="1">
      <alignment horizontal="left"/>
      <protection locked="0"/>
    </xf>
    <xf numFmtId="0" fontId="0" fillId="3" borderId="1" xfId="0" applyFill="1" applyBorder="1" applyAlignment="1" applyProtection="1">
      <alignment horizontal="left"/>
      <protection locked="0"/>
    </xf>
    <xf numFmtId="0" fontId="0" fillId="3" borderId="5" xfId="0" applyFill="1" applyBorder="1" applyAlignment="1" applyProtection="1">
      <alignment horizontal="left"/>
      <protection locked="0"/>
    </xf>
    <xf numFmtId="0" fontId="0" fillId="3" borderId="3" xfId="0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0" fillId="3" borderId="2" xfId="0" applyFill="1" applyBorder="1" applyAlignment="1" applyProtection="1">
      <alignment horizontal="left"/>
      <protection locked="0"/>
    </xf>
    <xf numFmtId="0" fontId="0" fillId="3" borderId="0" xfId="0" applyFill="1" applyBorder="1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0" fillId="4" borderId="6" xfId="0" applyFill="1" applyBorder="1" applyProtection="1">
      <protection locked="0"/>
    </xf>
    <xf numFmtId="0" fontId="0" fillId="4" borderId="2" xfId="0" applyFill="1" applyBorder="1" applyProtection="1">
      <protection locked="0"/>
    </xf>
    <xf numFmtId="0" fontId="0" fillId="4" borderId="8" xfId="0" applyFill="1" applyBorder="1" applyProtection="1">
      <protection locked="0"/>
    </xf>
    <xf numFmtId="0" fontId="0" fillId="4" borderId="5" xfId="0" applyFill="1" applyBorder="1" applyProtection="1">
      <protection locked="0"/>
    </xf>
    <xf numFmtId="0" fontId="0" fillId="4" borderId="9" xfId="0" applyFill="1" applyBorder="1" applyProtection="1">
      <protection locked="0"/>
    </xf>
    <xf numFmtId="0" fontId="0" fillId="4" borderId="11" xfId="0" applyFill="1" applyBorder="1" applyProtection="1">
      <protection locked="0"/>
    </xf>
    <xf numFmtId="0" fontId="0" fillId="4" borderId="12" xfId="0" applyFill="1" applyBorder="1" applyProtection="1">
      <protection locked="0"/>
    </xf>
    <xf numFmtId="0" fontId="0" fillId="3" borderId="7" xfId="0" applyFill="1" applyBorder="1" applyProtection="1">
      <protection locked="0"/>
    </xf>
    <xf numFmtId="0" fontId="0" fillId="3" borderId="11" xfId="0" applyFill="1" applyBorder="1" applyProtection="1">
      <protection locked="0"/>
    </xf>
    <xf numFmtId="0" fontId="0" fillId="3" borderId="8" xfId="0" applyFill="1" applyBorder="1" applyProtection="1">
      <protection locked="0"/>
    </xf>
    <xf numFmtId="0" fontId="0" fillId="5" borderId="11" xfId="0" applyFill="1" applyBorder="1" applyProtection="1">
      <protection locked="0"/>
    </xf>
    <xf numFmtId="0" fontId="0" fillId="5" borderId="8" xfId="0" applyFill="1" applyBorder="1" applyProtection="1">
      <protection locked="0"/>
    </xf>
    <xf numFmtId="0" fontId="0" fillId="5" borderId="12" xfId="0" applyFill="1" applyBorder="1" applyProtection="1">
      <protection locked="0"/>
    </xf>
    <xf numFmtId="0" fontId="0" fillId="5" borderId="9" xfId="0" applyFill="1" applyBorder="1" applyProtection="1">
      <protection locked="0"/>
    </xf>
    <xf numFmtId="0" fontId="0" fillId="0" borderId="0" xfId="0" applyBorder="1" applyProtection="1">
      <protection locked="0"/>
    </xf>
    <xf numFmtId="0" fontId="0" fillId="4" borderId="7" xfId="0" applyFill="1" applyBorder="1" applyProtection="1">
      <protection locked="0"/>
    </xf>
    <xf numFmtId="0" fontId="0" fillId="3" borderId="6" xfId="0" applyFill="1" applyBorder="1" applyProtection="1">
      <protection locked="0"/>
    </xf>
    <xf numFmtId="0" fontId="0" fillId="3" borderId="12" xfId="0" applyFill="1" applyBorder="1" applyProtection="1">
      <protection locked="0"/>
    </xf>
    <xf numFmtId="0" fontId="0" fillId="3" borderId="9" xfId="0" applyFill="1" applyBorder="1" applyProtection="1">
      <protection locked="0"/>
    </xf>
    <xf numFmtId="0" fontId="0" fillId="5" borderId="7" xfId="0" applyFill="1" applyBorder="1" applyProtection="1">
      <protection locked="0"/>
    </xf>
    <xf numFmtId="0" fontId="0" fillId="5" borderId="6" xfId="0" applyFill="1" applyBorder="1" applyProtection="1">
      <protection locked="0"/>
    </xf>
    <xf numFmtId="0" fontId="0" fillId="0" borderId="11" xfId="0" applyBorder="1" applyProtection="1">
      <protection locked="0"/>
    </xf>
    <xf numFmtId="0" fontId="0" fillId="6" borderId="7" xfId="0" applyFill="1" applyBorder="1" applyProtection="1">
      <protection locked="0"/>
    </xf>
    <xf numFmtId="0" fontId="0" fillId="6" borderId="11" xfId="0" applyFill="1" applyBorder="1" applyProtection="1">
      <protection locked="0"/>
    </xf>
    <xf numFmtId="0" fontId="0" fillId="6" borderId="12" xfId="0" applyFill="1" applyBorder="1" applyProtection="1">
      <protection locked="0"/>
    </xf>
    <xf numFmtId="0" fontId="4" fillId="0" borderId="4" xfId="0" applyFont="1" applyBorder="1"/>
    <xf numFmtId="0" fontId="0" fillId="2" borderId="6" xfId="0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5" fillId="0" borderId="0" xfId="0" applyFont="1"/>
    <xf numFmtId="167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quotePrefix="1" applyFont="1" applyAlignment="1">
      <alignment horizontal="right"/>
    </xf>
    <xf numFmtId="167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2" fontId="0" fillId="0" borderId="0" xfId="0" applyNumberFormat="1"/>
    <xf numFmtId="172" fontId="0" fillId="0" borderId="0" xfId="0" applyNumberFormat="1"/>
    <xf numFmtId="1" fontId="0" fillId="0" borderId="0" xfId="0" applyNumberFormat="1"/>
    <xf numFmtId="165" fontId="0" fillId="0" borderId="0" xfId="0" applyNumberFormat="1"/>
    <xf numFmtId="167" fontId="6" fillId="0" borderId="0" xfId="0" quotePrefix="1" applyNumberFormat="1" applyFont="1" applyAlignment="1">
      <alignment horizontal="right"/>
    </xf>
    <xf numFmtId="1" fontId="6" fillId="0" borderId="0" xfId="0" quotePrefix="1" applyNumberFormat="1" applyFont="1" applyAlignment="1">
      <alignment horizontal="right"/>
    </xf>
    <xf numFmtId="0" fontId="3" fillId="0" borderId="0" xfId="0" quotePrefix="1" applyFont="1" applyAlignment="1">
      <alignment horizontal="right"/>
    </xf>
    <xf numFmtId="14" fontId="0" fillId="3" borderId="2" xfId="0" applyNumberFormat="1" applyFill="1" applyBorder="1" applyAlignment="1" applyProtection="1">
      <alignment horizontal="left"/>
      <protection locked="0"/>
    </xf>
    <xf numFmtId="167" fontId="3" fillId="0" borderId="0" xfId="0" applyNumberFormat="1" applyFont="1"/>
    <xf numFmtId="2" fontId="3" fillId="0" borderId="0" xfId="0" applyNumberFormat="1" applyFont="1"/>
    <xf numFmtId="0" fontId="0" fillId="0" borderId="0" xfId="0" applyAlignment="1">
      <alignment horizontal="right"/>
    </xf>
    <xf numFmtId="0" fontId="9" fillId="0" borderId="0" xfId="0" applyFont="1"/>
    <xf numFmtId="1" fontId="3" fillId="0" borderId="0" xfId="0" quotePrefix="1" applyNumberFormat="1" applyFont="1" applyAlignment="1">
      <alignment horizontal="left"/>
    </xf>
    <xf numFmtId="0" fontId="0" fillId="0" borderId="0" xfId="0" applyFill="1" applyBorder="1" applyProtection="1">
      <protection locked="0"/>
    </xf>
    <xf numFmtId="0" fontId="0" fillId="6" borderId="6" xfId="0" applyFill="1" applyBorder="1" applyProtection="1">
      <protection locked="0"/>
    </xf>
    <xf numFmtId="0" fontId="0" fillId="6" borderId="8" xfId="0" applyFill="1" applyBorder="1" applyProtection="1">
      <protection locked="0"/>
    </xf>
    <xf numFmtId="0" fontId="0" fillId="6" borderId="9" xfId="0" applyFill="1" applyBorder="1" applyProtection="1">
      <protection locked="0"/>
    </xf>
    <xf numFmtId="0" fontId="0" fillId="6" borderId="4" xfId="0" applyFill="1" applyBorder="1" applyProtection="1">
      <protection locked="0"/>
    </xf>
    <xf numFmtId="0" fontId="0" fillId="6" borderId="2" xfId="0" applyFill="1" applyBorder="1" applyProtection="1">
      <protection locked="0"/>
    </xf>
    <xf numFmtId="0" fontId="0" fillId="0" borderId="1" xfId="0" applyBorder="1" applyProtection="1">
      <protection locked="0"/>
    </xf>
    <xf numFmtId="0" fontId="0" fillId="0" borderId="3" xfId="0" applyBorder="1" applyProtection="1">
      <protection locked="0"/>
    </xf>
    <xf numFmtId="0" fontId="0" fillId="3" borderId="13" xfId="0" applyFill="1" applyBorder="1" applyAlignment="1" applyProtection="1">
      <alignment horizontal="left"/>
      <protection locked="0"/>
    </xf>
    <xf numFmtId="0" fontId="0" fillId="3" borderId="14" xfId="0" applyFill="1" applyBorder="1" applyAlignment="1" applyProtection="1">
      <alignment horizontal="left"/>
      <protection locked="0"/>
    </xf>
    <xf numFmtId="0" fontId="0" fillId="3" borderId="14" xfId="0" applyFill="1" applyBorder="1" applyAlignment="1">
      <alignment horizontal="left"/>
    </xf>
    <xf numFmtId="0" fontId="0" fillId="7" borderId="0" xfId="0" applyFill="1" applyBorder="1" applyProtection="1">
      <protection locked="0"/>
    </xf>
    <xf numFmtId="0" fontId="0" fillId="3" borderId="4" xfId="0" applyFill="1" applyBorder="1" applyProtection="1">
      <protection locked="0"/>
    </xf>
    <xf numFmtId="0" fontId="0" fillId="3" borderId="2" xfId="0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0" fillId="0" borderId="2" xfId="0" applyBorder="1" applyProtection="1">
      <protection locked="0"/>
    </xf>
    <xf numFmtId="0" fontId="0" fillId="5" borderId="2" xfId="0" applyFill="1" applyBorder="1" applyProtection="1">
      <protection locked="0"/>
    </xf>
    <xf numFmtId="0" fontId="0" fillId="7" borderId="0" xfId="0" applyFill="1" applyBorder="1"/>
    <xf numFmtId="0" fontId="1" fillId="7" borderId="2" xfId="0" quotePrefix="1" applyFont="1" applyFill="1" applyBorder="1" applyAlignment="1">
      <alignment horizontal="left"/>
    </xf>
    <xf numFmtId="0" fontId="1" fillId="7" borderId="2" xfId="0" applyFont="1" applyFill="1" applyBorder="1" applyAlignment="1">
      <alignment horizontal="left"/>
    </xf>
    <xf numFmtId="0" fontId="0" fillId="7" borderId="4" xfId="0" applyFill="1" applyBorder="1" applyAlignment="1">
      <alignment horizontal="left"/>
    </xf>
    <xf numFmtId="0" fontId="0" fillId="2" borderId="15" xfId="0" applyFill="1" applyBorder="1"/>
    <xf numFmtId="0" fontId="0" fillId="0" borderId="8" xfId="0" applyBorder="1" applyProtection="1">
      <protection locked="0"/>
    </xf>
    <xf numFmtId="0" fontId="0" fillId="7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8" xfId="0" applyBorder="1"/>
    <xf numFmtId="0" fontId="0" fillId="0" borderId="6" xfId="0" applyBorder="1"/>
    <xf numFmtId="0" fontId="0" fillId="0" borderId="9" xfId="0" applyBorder="1"/>
    <xf numFmtId="0" fontId="0" fillId="7" borderId="6" xfId="0" applyFill="1" applyBorder="1" applyAlignment="1">
      <alignment horizontal="center"/>
    </xf>
    <xf numFmtId="0" fontId="0" fillId="7" borderId="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3" borderId="10" xfId="0" applyFill="1" applyBorder="1" applyProtection="1">
      <protection locked="0"/>
    </xf>
    <xf numFmtId="0" fontId="0" fillId="3" borderId="15" xfId="0" applyFill="1" applyBorder="1" applyProtection="1">
      <protection locked="0"/>
    </xf>
    <xf numFmtId="0" fontId="0" fillId="0" borderId="12" xfId="0" quotePrefix="1" applyBorder="1" applyAlignment="1">
      <alignment horizontal="left"/>
    </xf>
    <xf numFmtId="0" fontId="0" fillId="0" borderId="0" xfId="0" quotePrefix="1" applyBorder="1" applyAlignment="1">
      <alignment horizontal="left"/>
    </xf>
    <xf numFmtId="0" fontId="0" fillId="0" borderId="14" xfId="0" applyBorder="1"/>
    <xf numFmtId="0" fontId="0" fillId="3" borderId="14" xfId="0" applyFill="1" applyBorder="1"/>
    <xf numFmtId="0" fontId="0" fillId="3" borderId="15" xfId="0" applyFill="1" applyBorder="1"/>
    <xf numFmtId="0" fontId="5" fillId="0" borderId="0" xfId="0" quotePrefix="1" applyFont="1" applyAlignment="1">
      <alignment horizontal="left"/>
    </xf>
    <xf numFmtId="0" fontId="0" fillId="3" borderId="12" xfId="0" applyFill="1" applyBorder="1"/>
    <xf numFmtId="0" fontId="0" fillId="0" borderId="14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0" fontId="0" fillId="0" borderId="4" xfId="0" quotePrefix="1" applyBorder="1" applyAlignment="1">
      <alignment horizontal="left"/>
    </xf>
    <xf numFmtId="0" fontId="6" fillId="0" borderId="0" xfId="0" applyFont="1" applyAlignment="1" applyProtection="1">
      <alignment horizontal="center"/>
      <protection locked="0"/>
    </xf>
    <xf numFmtId="0" fontId="0" fillId="0" borderId="13" xfId="0" applyBorder="1" applyAlignment="1">
      <alignment horizontal="left"/>
    </xf>
    <xf numFmtId="2" fontId="0" fillId="0" borderId="0" xfId="0" applyNumberFormat="1" applyAlignment="1">
      <alignment horizontal="right"/>
    </xf>
    <xf numFmtId="11" fontId="0" fillId="0" borderId="0" xfId="0" applyNumberFormat="1"/>
    <xf numFmtId="166" fontId="0" fillId="0" borderId="0" xfId="0" applyNumberFormat="1"/>
    <xf numFmtId="0" fontId="9" fillId="0" borderId="0" xfId="0" applyFont="1" applyAlignment="1">
      <alignment horizontal="right"/>
    </xf>
    <xf numFmtId="0" fontId="3" fillId="0" borderId="0" xfId="0" applyFont="1" applyFill="1" applyBorder="1"/>
    <xf numFmtId="0" fontId="3" fillId="0" borderId="0" xfId="0" applyFont="1" applyFill="1" applyBorder="1" applyProtection="1">
      <protection locked="0"/>
    </xf>
    <xf numFmtId="0" fontId="6" fillId="0" borderId="0" xfId="0" applyFont="1" applyFill="1" applyBorder="1"/>
    <xf numFmtId="0" fontId="0" fillId="0" borderId="0" xfId="0" applyFill="1" applyBorder="1"/>
    <xf numFmtId="0" fontId="3" fillId="0" borderId="0" xfId="0" applyFont="1" applyFill="1" applyBorder="1" applyAlignment="1">
      <alignment horizontal="left"/>
    </xf>
    <xf numFmtId="0" fontId="6" fillId="0" borderId="0" xfId="0" applyFont="1" applyFill="1" applyBorder="1" applyAlignment="1" applyProtection="1">
      <alignment horizontal="right"/>
      <protection locked="0"/>
    </xf>
    <xf numFmtId="0" fontId="0" fillId="0" borderId="0" xfId="0" quotePrefix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167" fontId="0" fillId="0" borderId="0" xfId="0" applyNumberFormat="1" applyFill="1" applyBorder="1" applyProtection="1">
      <protection locked="0"/>
    </xf>
    <xf numFmtId="2" fontId="0" fillId="0" borderId="0" xfId="0" applyNumberFormat="1" applyFill="1" applyBorder="1" applyProtection="1">
      <protection locked="0"/>
    </xf>
    <xf numFmtId="0" fontId="0" fillId="0" borderId="0" xfId="0" applyFill="1" applyBorder="1" applyAlignment="1" applyProtection="1">
      <alignment horizontal="left"/>
      <protection locked="0"/>
    </xf>
    <xf numFmtId="0" fontId="0" fillId="0" borderId="0" xfId="0" applyFill="1" applyBorder="1" applyAlignment="1">
      <alignment horizontal="left"/>
    </xf>
    <xf numFmtId="0" fontId="3" fillId="0" borderId="0" xfId="0" quotePrefix="1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14" fontId="0" fillId="0" borderId="0" xfId="0" applyNumberFormat="1" applyFill="1" applyBorder="1" applyAlignment="1" applyProtection="1">
      <alignment horizontal="left"/>
      <protection locked="0"/>
    </xf>
    <xf numFmtId="0" fontId="3" fillId="0" borderId="0" xfId="0" applyFont="1" applyFill="1" applyBorder="1" applyAlignment="1">
      <alignment horizontal="right"/>
    </xf>
    <xf numFmtId="0" fontId="6" fillId="0" borderId="0" xfId="0" applyFont="1" applyFill="1" applyBorder="1" applyProtection="1">
      <protection locked="0"/>
    </xf>
    <xf numFmtId="0" fontId="6" fillId="0" borderId="0" xfId="0" applyFont="1" applyFill="1" applyBorder="1" applyAlignment="1" applyProtection="1">
      <alignment horizontal="center"/>
      <protection locked="0"/>
    </xf>
    <xf numFmtId="0" fontId="6" fillId="0" borderId="0" xfId="0" quotePrefix="1" applyFont="1" applyFill="1" applyBorder="1" applyAlignment="1">
      <alignment horizontal="right"/>
    </xf>
    <xf numFmtId="0" fontId="9" fillId="0" borderId="0" xfId="0" applyFont="1" applyFill="1" applyBorder="1"/>
    <xf numFmtId="0" fontId="9" fillId="0" borderId="0" xfId="0" applyFont="1" applyFill="1" applyBorder="1" applyProtection="1">
      <protection locked="0"/>
    </xf>
    <xf numFmtId="0" fontId="6" fillId="0" borderId="0" xfId="0" quotePrefix="1" applyFont="1" applyFill="1" applyBorder="1" applyAlignment="1">
      <alignment horizontal="left"/>
    </xf>
    <xf numFmtId="0" fontId="12" fillId="0" borderId="0" xfId="0" applyFont="1" applyFill="1" applyBorder="1"/>
    <xf numFmtId="0" fontId="0" fillId="0" borderId="0" xfId="0" applyNumberFormat="1" applyFill="1" applyBorder="1" applyProtection="1">
      <protection locked="0"/>
    </xf>
    <xf numFmtId="0" fontId="6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166" fontId="0" fillId="0" borderId="0" xfId="0" applyNumberFormat="1" applyFill="1" applyBorder="1" applyProtection="1">
      <protection locked="0"/>
    </xf>
    <xf numFmtId="2" fontId="3" fillId="0" borderId="0" xfId="0" applyNumberFormat="1" applyFont="1" applyAlignment="1"/>
    <xf numFmtId="2" fontId="3" fillId="0" borderId="0" xfId="0" applyNumberFormat="1" applyFont="1" applyAlignment="1">
      <alignment horizontal="center"/>
    </xf>
    <xf numFmtId="0" fontId="3" fillId="0" borderId="0" xfId="0" quotePrefix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1529068415609"/>
          <c:y val="0.10628044393598075"/>
          <c:w val="0.79967287509120211"/>
          <c:h val="0.59661976482243739"/>
        </c:manualLayout>
      </c:layout>
      <c:lineChart>
        <c:grouping val="standard"/>
        <c:varyColors val="0"/>
        <c:ser>
          <c:idx val="0"/>
          <c:order val="0"/>
          <c:tx>
            <c:v>Observed</c:v>
          </c:tx>
          <c:spPr>
            <a:ln w="38100">
              <a:noFill/>
            </a:ln>
          </c:spPr>
          <c:marker>
            <c:symbol val="diamond"/>
            <c:size val="8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Plot!$K$7:$K$100</c:f>
                <c:numCache>
                  <c:formatCode>General</c:formatCode>
                  <c:ptCount val="94"/>
                </c:numCache>
              </c:numRef>
            </c:plus>
            <c:minus>
              <c:numRef>
                <c:f>Plot!$J$7:$J$100</c:f>
                <c:numCache>
                  <c:formatCode>General</c:formatCode>
                  <c:ptCount val="94"/>
                </c:numCache>
              </c:numRef>
            </c:minus>
            <c:spPr>
              <a:ln w="25400">
                <a:solidFill>
                  <a:srgbClr val="000080"/>
                </a:solidFill>
                <a:prstDash val="solid"/>
              </a:ln>
            </c:spPr>
          </c:errBars>
          <c:cat>
            <c:strRef>
              <c:f>[0]!p_segs</c:f>
              <c:strCache>
                <c:ptCount val="8"/>
                <c:pt idx="0">
                  <c:v>ARKANSAS UPPER</c:v>
                </c:pt>
                <c:pt idx="1">
                  <c:v>ARKANSAS MID</c:v>
                </c:pt>
                <c:pt idx="2">
                  <c:v>ARKANSAS LOWER</c:v>
                </c:pt>
                <c:pt idx="3">
                  <c:v>CIMARRON UPPER</c:v>
                </c:pt>
                <c:pt idx="4">
                  <c:v>CIMARRON MID</c:v>
                </c:pt>
                <c:pt idx="5">
                  <c:v>CIMARRON LOWER</c:v>
                </c:pt>
                <c:pt idx="6">
                  <c:v>DAM AREA</c:v>
                </c:pt>
                <c:pt idx="7">
                  <c:v>Area-Wtd Mean</c:v>
                </c:pt>
              </c:strCache>
            </c:strRef>
          </c:cat>
          <c:val>
            <c:numRef>
              <c:f>[0]!p_obs</c:f>
              <c:numCache>
                <c:formatCode>General</c:formatCode>
                <c:ptCount val="8"/>
                <c:pt idx="0" formatCode="0.0">
                  <c:v>93.510955810546875</c:v>
                </c:pt>
                <c:pt idx="2" formatCode="0.0">
                  <c:v>2.5120608508586884E-2</c:v>
                </c:pt>
                <c:pt idx="3" formatCode="0.0">
                  <c:v>48.546840667724609</c:v>
                </c:pt>
                <c:pt idx="4" formatCode="0.0">
                  <c:v>2.5128943920135498</c:v>
                </c:pt>
                <c:pt idx="5" formatCode="0.0">
                  <c:v>4.9197859764099121</c:v>
                </c:pt>
                <c:pt idx="6" formatCode="0.0">
                  <c:v>0.10537977516651154</c:v>
                </c:pt>
                <c:pt idx="7" formatCode="0.0">
                  <c:v>15.830733299255371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BA-432C-B972-CF8CC841CB25}"/>
            </c:ext>
          </c:extLst>
        </c:ser>
        <c:ser>
          <c:idx val="1"/>
          <c:order val="1"/>
          <c:tx>
            <c:v>Predicted</c:v>
          </c:tx>
          <c:spPr>
            <a:ln w="38100">
              <a:noFill/>
            </a:ln>
          </c:spPr>
          <c:marker>
            <c:symbol val="square"/>
            <c:size val="8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Plot!$I$7:$I$100</c:f>
                <c:numCache>
                  <c:formatCode>General</c:formatCode>
                  <c:ptCount val="94"/>
                </c:numCache>
              </c:numRef>
            </c:plus>
            <c:minus>
              <c:numRef>
                <c:f>Plot!$H$7:$H$100</c:f>
                <c:numCache>
                  <c:formatCode>General</c:formatCode>
                  <c:ptCount val="94"/>
                </c:numCache>
              </c:numRef>
            </c:minus>
            <c:spPr>
              <a:ln w="25400">
                <a:solidFill>
                  <a:srgbClr val="FF0000"/>
                </a:solidFill>
                <a:prstDash val="solid"/>
              </a:ln>
            </c:spPr>
          </c:errBars>
          <c:cat>
            <c:strRef>
              <c:f>[0]!p_segs</c:f>
              <c:strCache>
                <c:ptCount val="8"/>
                <c:pt idx="0">
                  <c:v>ARKANSAS UPPER</c:v>
                </c:pt>
                <c:pt idx="1">
                  <c:v>ARKANSAS MID</c:v>
                </c:pt>
                <c:pt idx="2">
                  <c:v>ARKANSAS LOWER</c:v>
                </c:pt>
                <c:pt idx="3">
                  <c:v>CIMARRON UPPER</c:v>
                </c:pt>
                <c:pt idx="4">
                  <c:v>CIMARRON MID</c:v>
                </c:pt>
                <c:pt idx="5">
                  <c:v>CIMARRON LOWER</c:v>
                </c:pt>
                <c:pt idx="6">
                  <c:v>DAM AREA</c:v>
                </c:pt>
                <c:pt idx="7">
                  <c:v>Area-Wtd Mean</c:v>
                </c:pt>
              </c:strCache>
            </c:strRef>
          </c:cat>
          <c:val>
            <c:numRef>
              <c:f>[0]!p_pred</c:f>
              <c:numCache>
                <c:formatCode>0.0</c:formatCode>
                <c:ptCount val="8"/>
                <c:pt idx="0">
                  <c:v>79.176589965820313</c:v>
                </c:pt>
                <c:pt idx="1">
                  <c:v>2.1076722145080566</c:v>
                </c:pt>
                <c:pt idx="2">
                  <c:v>1.1877990961074829</c:v>
                </c:pt>
                <c:pt idx="3">
                  <c:v>17.563745498657227</c:v>
                </c:pt>
                <c:pt idx="4">
                  <c:v>2.1752843856811523</c:v>
                </c:pt>
                <c:pt idx="5">
                  <c:v>2.1641764640808105</c:v>
                </c:pt>
                <c:pt idx="6">
                  <c:v>0.83860892057418823</c:v>
                </c:pt>
                <c:pt idx="7">
                  <c:v>8.9337482452392578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BA-432C-B972-CF8CC841C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5862224"/>
        <c:axId val="1"/>
      </c:lineChart>
      <c:catAx>
        <c:axId val="1455862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strRef>
              <c:f>[0]!p_label</c:f>
              <c:strCache>
                <c:ptCount val="1"/>
                <c:pt idx="0">
                  <c:v>FREQ(CHL-a&gt;20) %</c:v>
                </c:pt>
              </c:strCache>
            </c:strRef>
          </c:tx>
          <c:layout>
            <c:manualLayout>
              <c:xMode val="edge"/>
              <c:yMode val="edge"/>
              <c:x val="2.4630581368312181E-2"/>
              <c:y val="0.26087018057013456"/>
            </c:manualLayout>
          </c:layout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5862224"/>
        <c:crosses val="autoZero"/>
        <c:crossBetween val="between"/>
      </c:valAx>
      <c:spPr>
        <a:solidFill>
          <a:srgbClr val="CCFFCC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4647017791425799"/>
          <c:y val="0.93236934907474023"/>
          <c:w val="0.23973765865157187"/>
          <c:h val="5.3140221967990377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Means +/- 1 Std Error</a:t>
            </a:r>
          </a:p>
        </c:rich>
      </c:tx>
      <c:layout>
        <c:manualLayout>
          <c:xMode val="edge"/>
          <c:yMode val="edge"/>
          <c:x val="0.75367714707062405"/>
          <c:y val="0.9285738275406837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6765860852285"/>
          <c:y val="0.11375690764743419"/>
          <c:w val="0.77757422734359505"/>
          <c:h val="0.69841450276564243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[0]!ch2_x</c:f>
              <c:numCache>
                <c:formatCode>0.0</c:formatCode>
                <c:ptCount val="36"/>
                <c:pt idx="0">
                  <c:v>1226582.25</c:v>
                </c:pt>
                <c:pt idx="1">
                  <c:v>2453164.5</c:v>
                </c:pt>
                <c:pt idx="2">
                  <c:v>3679746.5</c:v>
                </c:pt>
                <c:pt idx="3">
                  <c:v>4906329</c:v>
                </c:pt>
                <c:pt idx="4">
                  <c:v>6132911</c:v>
                </c:pt>
                <c:pt idx="5">
                  <c:v>7359493</c:v>
                </c:pt>
                <c:pt idx="6">
                  <c:v>8586075</c:v>
                </c:pt>
                <c:pt idx="7">
                  <c:v>9812658</c:v>
                </c:pt>
                <c:pt idx="8">
                  <c:v>11039240</c:v>
                </c:pt>
                <c:pt idx="9">
                  <c:v>12265822</c:v>
                </c:pt>
              </c:numCache>
            </c:numRef>
          </c:xVal>
          <c:yVal>
            <c:numRef>
              <c:f>[0]!ch2_y</c:f>
              <c:numCache>
                <c:formatCode>0.0</c:formatCode>
                <c:ptCount val="36"/>
                <c:pt idx="0">
                  <c:v>6.759376049041748</c:v>
                </c:pt>
                <c:pt idx="1">
                  <c:v>8.508030891418457</c:v>
                </c:pt>
                <c:pt idx="2">
                  <c:v>9.1582183837890625</c:v>
                </c:pt>
                <c:pt idx="3">
                  <c:v>9.4716606140136719</c:v>
                </c:pt>
                <c:pt idx="4">
                  <c:v>9.6493005752563477</c:v>
                </c:pt>
                <c:pt idx="5">
                  <c:v>9.7613468170166016</c:v>
                </c:pt>
                <c:pt idx="6">
                  <c:v>9.8375234603881836</c:v>
                </c:pt>
                <c:pt idx="7">
                  <c:v>9.8922462463378906</c:v>
                </c:pt>
                <c:pt idx="8">
                  <c:v>9.9332437515258789</c:v>
                </c:pt>
                <c:pt idx="9">
                  <c:v>9.9649896621704102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A4-4A74-9B91-7ACF7C76BE64}"/>
            </c:ext>
          </c:extLst>
        </c:ser>
        <c:ser>
          <c:idx val="1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[0]!ch2_x</c:f>
              <c:numCache>
                <c:formatCode>0.0</c:formatCode>
                <c:ptCount val="36"/>
                <c:pt idx="0">
                  <c:v>1226582.25</c:v>
                </c:pt>
                <c:pt idx="1">
                  <c:v>2453164.5</c:v>
                </c:pt>
                <c:pt idx="2">
                  <c:v>3679746.5</c:v>
                </c:pt>
                <c:pt idx="3">
                  <c:v>4906329</c:v>
                </c:pt>
                <c:pt idx="4">
                  <c:v>6132911</c:v>
                </c:pt>
                <c:pt idx="5">
                  <c:v>7359493</c:v>
                </c:pt>
                <c:pt idx="6">
                  <c:v>8586075</c:v>
                </c:pt>
                <c:pt idx="7">
                  <c:v>9812658</c:v>
                </c:pt>
                <c:pt idx="8">
                  <c:v>11039240</c:v>
                </c:pt>
                <c:pt idx="9">
                  <c:v>12265822</c:v>
                </c:pt>
              </c:numCache>
            </c:numRef>
          </c:xVal>
          <c:yVal>
            <c:numRef>
              <c:f>[0]!ch2_low</c:f>
              <c:numCache>
                <c:formatCode>0.0</c:formatCode>
                <c:ptCount val="36"/>
                <c:pt idx="0">
                  <c:v>5.2252292633056641</c:v>
                </c:pt>
                <c:pt idx="1">
                  <c:v>6.5800647735595703</c:v>
                </c:pt>
                <c:pt idx="2">
                  <c:v>7.0806379318237305</c:v>
                </c:pt>
                <c:pt idx="3">
                  <c:v>7.3206343650817871</c:v>
                </c:pt>
                <c:pt idx="4">
                  <c:v>7.4561409950256348</c:v>
                </c:pt>
                <c:pt idx="5">
                  <c:v>7.5413980484008789</c:v>
                </c:pt>
                <c:pt idx="6">
                  <c:v>7.5992474555969238</c:v>
                </c:pt>
                <c:pt idx="7">
                  <c:v>7.6407599449157715</c:v>
                </c:pt>
                <c:pt idx="8">
                  <c:v>7.6718153953552246</c:v>
                </c:pt>
                <c:pt idx="9">
                  <c:v>7.6958575248718262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A4-4A74-9B91-7ACF7C76BE64}"/>
            </c:ext>
          </c:extLst>
        </c:ser>
        <c:ser>
          <c:idx val="2"/>
          <c:order val="2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[0]!ch2_x</c:f>
              <c:numCache>
                <c:formatCode>0.0</c:formatCode>
                <c:ptCount val="36"/>
                <c:pt idx="0">
                  <c:v>1226582.25</c:v>
                </c:pt>
                <c:pt idx="1">
                  <c:v>2453164.5</c:v>
                </c:pt>
                <c:pt idx="2">
                  <c:v>3679746.5</c:v>
                </c:pt>
                <c:pt idx="3">
                  <c:v>4906329</c:v>
                </c:pt>
                <c:pt idx="4">
                  <c:v>6132911</c:v>
                </c:pt>
                <c:pt idx="5">
                  <c:v>7359493</c:v>
                </c:pt>
                <c:pt idx="6">
                  <c:v>8586075</c:v>
                </c:pt>
                <c:pt idx="7">
                  <c:v>9812658</c:v>
                </c:pt>
                <c:pt idx="8">
                  <c:v>11039240</c:v>
                </c:pt>
                <c:pt idx="9">
                  <c:v>12265822</c:v>
                </c:pt>
              </c:numCache>
            </c:numRef>
          </c:xVal>
          <c:yVal>
            <c:numRef>
              <c:f>[0]!ch2_high</c:f>
              <c:numCache>
                <c:formatCode>0.0</c:formatCode>
                <c:ptCount val="36"/>
                <c:pt idx="0">
                  <c:v>8.7439546585083008</c:v>
                </c:pt>
                <c:pt idx="1">
                  <c:v>11.000892639160156</c:v>
                </c:pt>
                <c:pt idx="2">
                  <c:v>11.845396041870117</c:v>
                </c:pt>
                <c:pt idx="3">
                  <c:v>12.25472354888916</c:v>
                </c:pt>
                <c:pt idx="4">
                  <c:v>12.48755931854248</c:v>
                </c:pt>
                <c:pt idx="5">
                  <c:v>12.634778022766113</c:v>
                </c:pt>
                <c:pt idx="6">
                  <c:v>12.73505973815918</c:v>
                </c:pt>
                <c:pt idx="7">
                  <c:v>12.807173728942871</c:v>
                </c:pt>
                <c:pt idx="8">
                  <c:v>12.861275672912598</c:v>
                </c:pt>
                <c:pt idx="9">
                  <c:v>12.903178215026855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A4-4A74-9B91-7ACF7C76BE64}"/>
            </c:ext>
          </c:extLst>
        </c:ser>
        <c:ser>
          <c:idx val="3"/>
          <c:order val="3"/>
          <c:spPr>
            <a:ln w="12700">
              <a:solidFill>
                <a:srgbClr val="00FF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'Load Response'!$C$10</c:f>
              <c:numCache>
                <c:formatCode>0.0</c:formatCode>
                <c:ptCount val="1"/>
                <c:pt idx="0">
                  <c:v>6132911</c:v>
                </c:pt>
              </c:numCache>
            </c:numRef>
          </c:xVal>
          <c:yVal>
            <c:numRef>
              <c:f>'Load Response'!$E$10</c:f>
              <c:numCache>
                <c:formatCode>0.0</c:formatCode>
                <c:ptCount val="1"/>
                <c:pt idx="0">
                  <c:v>9.6493005752563477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A4-4A74-9B91-7ACF7C76B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873744"/>
        <c:axId val="1"/>
      </c:scatterChart>
      <c:valAx>
        <c:axId val="145587374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Total P Load (kg/yr)</a:t>
                </a:r>
              </a:p>
            </c:rich>
          </c:tx>
          <c:layout>
            <c:manualLayout>
              <c:xMode val="edge"/>
              <c:yMode val="edge"/>
              <c:x val="0.40808860158458177"/>
              <c:y val="0.89418220429843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strRef>
              <c:f>[0]!ch2_var</c:f>
              <c:strCache>
                <c:ptCount val="1"/>
                <c:pt idx="0">
                  <c:v>CHL-A      MG/M3</c:v>
                </c:pt>
              </c:strCache>
            </c:strRef>
          </c:tx>
          <c:layout>
            <c:manualLayout>
              <c:xMode val="edge"/>
              <c:yMode val="edge"/>
              <c:x val="3.1250028049269775E-2"/>
              <c:y val="0.32010664710091946"/>
            </c:manualLayout>
          </c:layout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5873744"/>
        <c:crosses val="autoZero"/>
        <c:crossBetween val="midCat"/>
      </c:valAx>
      <c:spPr>
        <a:solidFill>
          <a:srgbClr val="CCFFCC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9</xdr:col>
      <xdr:colOff>314325</xdr:colOff>
      <xdr:row>24</xdr:row>
      <xdr:rowOff>76200</xdr:rowOff>
    </xdr:to>
    <xdr:graphicFrame macro="">
      <xdr:nvGraphicFramePr>
        <xdr:cNvPr id="17409" name="Chart 1">
          <a:extLst>
            <a:ext uri="{FF2B5EF4-FFF2-40B4-BE49-F238E27FC236}">
              <a16:creationId xmlns:a16="http://schemas.microsoft.com/office/drawing/2014/main" id="{FCB54191-2788-BF82-8FD5-DC5568159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8</xdr:col>
      <xdr:colOff>38100</xdr:colOff>
      <xdr:row>39</xdr:row>
      <xdr:rowOff>66675</xdr:rowOff>
    </xdr:to>
    <xdr:pic>
      <xdr:nvPicPr>
        <xdr:cNvPr id="11326" name="Picture 62">
          <a:extLst>
            <a:ext uri="{FF2B5EF4-FFF2-40B4-BE49-F238E27FC236}">
              <a16:creationId xmlns:a16="http://schemas.microsoft.com/office/drawing/2014/main" id="{CC97B3BE-578A-4EAA-5213-9BD2161EC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8875"/>
          <a:ext cx="5810250" cy="395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114300</xdr:rowOff>
    </xdr:from>
    <xdr:to>
      <xdr:col>8</xdr:col>
      <xdr:colOff>304800</xdr:colOff>
      <xdr:row>23</xdr:row>
      <xdr:rowOff>152400</xdr:rowOff>
    </xdr:to>
    <xdr:graphicFrame macro="">
      <xdr:nvGraphicFramePr>
        <xdr:cNvPr id="16385" name="Chart 1">
          <a:extLst>
            <a:ext uri="{FF2B5EF4-FFF2-40B4-BE49-F238E27FC236}">
              <a16:creationId xmlns:a16="http://schemas.microsoft.com/office/drawing/2014/main" id="{3FF9165F-0112-727E-4AD3-60FDD1030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7</xdr:col>
      <xdr:colOff>333375</xdr:colOff>
      <xdr:row>43</xdr:row>
      <xdr:rowOff>47625</xdr:rowOff>
    </xdr:to>
    <xdr:pic>
      <xdr:nvPicPr>
        <xdr:cNvPr id="15367" name="Picture 7">
          <a:extLst>
            <a:ext uri="{FF2B5EF4-FFF2-40B4-BE49-F238E27FC236}">
              <a16:creationId xmlns:a16="http://schemas.microsoft.com/office/drawing/2014/main" id="{C03850F1-5936-40F2-1529-9E7D2B1DE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0425"/>
          <a:ext cx="5191125" cy="3609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BCA8-D35B-429B-B2D4-371D5625750B}">
  <sheetPr codeName="Sheet2"/>
  <dimension ref="A1:T74"/>
  <sheetViews>
    <sheetView topLeftCell="A22" workbookViewId="0"/>
  </sheetViews>
  <sheetFormatPr defaultRowHeight="12.75" x14ac:dyDescent="0.2"/>
  <cols>
    <col min="1" max="1" width="6.5703125" customWidth="1"/>
    <col min="2" max="2" width="15.42578125" customWidth="1"/>
  </cols>
  <sheetData>
    <row r="1" spans="1:20" x14ac:dyDescent="0.2">
      <c r="A1" s="9" t="s">
        <v>625</v>
      </c>
      <c r="B1" s="9"/>
    </row>
    <row r="2" spans="1:20" x14ac:dyDescent="0.2">
      <c r="A2" s="9" t="s">
        <v>194</v>
      </c>
      <c r="B2" s="9" t="s">
        <v>624</v>
      </c>
    </row>
    <row r="3" spans="1:20" x14ac:dyDescent="0.2">
      <c r="A3" s="163" t="s">
        <v>510</v>
      </c>
      <c r="B3" s="161"/>
      <c r="C3" s="154"/>
      <c r="D3" s="161"/>
      <c r="E3" s="162"/>
      <c r="F3" s="162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</row>
    <row r="4" spans="1:20" x14ac:dyDescent="0.2">
      <c r="A4" s="154"/>
      <c r="B4" s="161" t="s">
        <v>626</v>
      </c>
      <c r="C4" s="154"/>
      <c r="D4" s="161"/>
      <c r="E4" s="162"/>
      <c r="F4" s="162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</row>
    <row r="5" spans="1:20" x14ac:dyDescent="0.2">
      <c r="A5" s="154"/>
      <c r="B5" s="161"/>
      <c r="C5" s="154"/>
      <c r="D5" s="161"/>
      <c r="E5" s="162"/>
      <c r="F5" s="162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</row>
    <row r="6" spans="1:20" x14ac:dyDescent="0.2">
      <c r="A6" s="154"/>
      <c r="B6" s="165" t="s">
        <v>627</v>
      </c>
      <c r="C6" s="154"/>
      <c r="D6" s="161"/>
      <c r="E6" s="162"/>
      <c r="F6" s="162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</row>
    <row r="7" spans="1:20" x14ac:dyDescent="0.2">
      <c r="A7" s="154"/>
      <c r="B7" s="161"/>
      <c r="C7" s="154"/>
      <c r="D7" s="161"/>
      <c r="E7" s="162"/>
      <c r="F7" s="162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</row>
    <row r="8" spans="1:20" x14ac:dyDescent="0.2">
      <c r="A8" s="154"/>
      <c r="B8" s="161" t="s">
        <v>628</v>
      </c>
      <c r="C8" s="154"/>
      <c r="D8" s="161"/>
      <c r="E8" s="162"/>
      <c r="F8" s="162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</row>
    <row r="9" spans="1:20" x14ac:dyDescent="0.2">
      <c r="A9" s="154"/>
      <c r="B9" s="161"/>
      <c r="C9" s="154"/>
      <c r="D9" s="161"/>
      <c r="E9" s="162"/>
      <c r="F9" s="162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</row>
    <row r="10" spans="1:20" x14ac:dyDescent="0.2">
      <c r="A10" s="154"/>
      <c r="B10" s="161" t="s">
        <v>629</v>
      </c>
      <c r="C10" s="154"/>
      <c r="D10" s="161"/>
      <c r="E10" s="162"/>
      <c r="F10" s="162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</row>
    <row r="11" spans="1:20" x14ac:dyDescent="0.2">
      <c r="A11" s="154"/>
      <c r="B11" s="161" t="s">
        <v>630</v>
      </c>
      <c r="C11" s="154"/>
      <c r="D11" s="161"/>
      <c r="E11" s="162"/>
      <c r="F11" s="162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</row>
    <row r="12" spans="1:20" x14ac:dyDescent="0.2">
      <c r="A12" s="154"/>
      <c r="B12" s="161"/>
      <c r="C12" s="154"/>
      <c r="D12" s="161"/>
      <c r="E12" s="162"/>
      <c r="F12" s="162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</row>
    <row r="13" spans="1:20" x14ac:dyDescent="0.2">
      <c r="A13" s="154"/>
      <c r="B13" s="161"/>
      <c r="C13" s="154"/>
      <c r="D13" s="161"/>
      <c r="E13" s="162"/>
      <c r="F13" s="162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</row>
    <row r="14" spans="1:20" x14ac:dyDescent="0.2">
      <c r="A14" s="154"/>
      <c r="B14" s="154"/>
      <c r="C14" s="96"/>
      <c r="D14" s="96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</row>
    <row r="15" spans="1:20" x14ac:dyDescent="0.2">
      <c r="A15" s="172" t="s">
        <v>0</v>
      </c>
      <c r="B15" s="173"/>
      <c r="C15" s="156" t="s">
        <v>183</v>
      </c>
      <c r="D15" s="156" t="s">
        <v>184</v>
      </c>
      <c r="E15" s="154"/>
      <c r="F15" s="154"/>
      <c r="G15" s="153" t="s">
        <v>126</v>
      </c>
      <c r="H15" s="154"/>
      <c r="J15" s="164" t="s">
        <v>508</v>
      </c>
      <c r="K15" s="153" t="s">
        <v>507</v>
      </c>
      <c r="L15" s="154"/>
      <c r="M15" s="154"/>
      <c r="N15" s="154"/>
      <c r="O15" s="154"/>
      <c r="P15" s="154"/>
      <c r="Q15" s="154"/>
      <c r="R15" s="154"/>
      <c r="S15" s="154"/>
      <c r="T15" s="154"/>
    </row>
    <row r="16" spans="1:20" x14ac:dyDescent="0.2">
      <c r="A16" s="154" t="s">
        <v>177</v>
      </c>
      <c r="B16" s="154"/>
      <c r="C16" s="174">
        <v>1</v>
      </c>
      <c r="D16" s="159">
        <v>0</v>
      </c>
      <c r="E16" s="154"/>
      <c r="F16" s="154"/>
      <c r="G16" s="157" t="s">
        <v>269</v>
      </c>
      <c r="H16" s="154"/>
      <c r="I16" s="96"/>
      <c r="J16" s="176">
        <v>0</v>
      </c>
      <c r="K16" s="154" t="s">
        <v>323</v>
      </c>
      <c r="L16" s="154"/>
      <c r="M16" s="154"/>
      <c r="N16" s="154"/>
      <c r="O16" s="154"/>
      <c r="P16" s="154"/>
      <c r="Q16" s="154"/>
      <c r="R16" s="154"/>
      <c r="S16" s="154"/>
      <c r="T16" s="154"/>
    </row>
    <row r="17" spans="1:20" x14ac:dyDescent="0.2">
      <c r="A17" s="157" t="s">
        <v>195</v>
      </c>
      <c r="B17" s="154"/>
      <c r="C17" s="174">
        <v>1.1000000238418579</v>
      </c>
      <c r="D17" s="159">
        <v>0.20000000298023224</v>
      </c>
      <c r="E17" s="154"/>
      <c r="F17" s="154"/>
      <c r="G17" s="157" t="s">
        <v>416</v>
      </c>
      <c r="H17" s="154"/>
      <c r="I17" s="96"/>
      <c r="J17" s="176">
        <v>1</v>
      </c>
      <c r="K17" s="154" t="s">
        <v>327</v>
      </c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x14ac:dyDescent="0.2">
      <c r="A18" s="157" t="s">
        <v>196</v>
      </c>
      <c r="B18" s="154"/>
      <c r="C18" s="174">
        <v>0.69999998807907104</v>
      </c>
      <c r="D18" s="159">
        <v>0.30000001192092896</v>
      </c>
      <c r="E18" s="154"/>
      <c r="F18" s="154"/>
      <c r="G18" s="157" t="s">
        <v>417</v>
      </c>
      <c r="H18" s="154"/>
      <c r="I18" s="96"/>
      <c r="J18" s="176">
        <v>0</v>
      </c>
      <c r="K18" s="154" t="s">
        <v>323</v>
      </c>
      <c r="L18" s="154"/>
      <c r="M18" s="154"/>
      <c r="N18" s="154"/>
      <c r="O18" s="154"/>
      <c r="P18" s="154"/>
      <c r="Q18" s="154"/>
      <c r="R18" s="154"/>
      <c r="S18" s="154"/>
      <c r="T18" s="154"/>
    </row>
    <row r="19" spans="1:20" x14ac:dyDescent="0.2">
      <c r="A19" s="157" t="s">
        <v>197</v>
      </c>
      <c r="B19" s="154"/>
      <c r="C19" s="174">
        <v>0</v>
      </c>
      <c r="D19" s="159">
        <v>0</v>
      </c>
      <c r="E19" s="154"/>
      <c r="F19" s="154"/>
      <c r="G19" s="157" t="s">
        <v>216</v>
      </c>
      <c r="H19" s="154"/>
      <c r="I19" s="96"/>
      <c r="J19" s="176">
        <v>2</v>
      </c>
      <c r="K19" s="154" t="s">
        <v>339</v>
      </c>
      <c r="L19" s="154"/>
      <c r="M19" s="154"/>
      <c r="N19" s="154"/>
      <c r="O19" s="154"/>
      <c r="P19" s="154"/>
      <c r="Q19" s="154"/>
      <c r="R19" s="154"/>
      <c r="S19" s="154"/>
      <c r="T19" s="154"/>
    </row>
    <row r="20" spans="1:20" x14ac:dyDescent="0.2">
      <c r="A20" s="154"/>
      <c r="B20" s="154"/>
      <c r="C20" s="96"/>
      <c r="D20" s="96"/>
      <c r="E20" s="154"/>
      <c r="F20" s="154"/>
      <c r="G20" s="157" t="s">
        <v>427</v>
      </c>
      <c r="H20" s="154"/>
      <c r="I20" s="96"/>
      <c r="J20" s="176">
        <v>1</v>
      </c>
      <c r="K20" s="154" t="s">
        <v>344</v>
      </c>
      <c r="L20" s="154"/>
      <c r="M20" s="154"/>
      <c r="N20" s="154"/>
      <c r="O20" s="154"/>
      <c r="P20" s="154"/>
      <c r="Q20" s="154"/>
      <c r="R20" s="154"/>
      <c r="S20" s="154"/>
      <c r="T20" s="154"/>
    </row>
    <row r="21" spans="1:20" ht="14.25" x14ac:dyDescent="0.2">
      <c r="A21" s="172" t="s">
        <v>509</v>
      </c>
      <c r="B21" s="173"/>
      <c r="C21" s="156" t="s">
        <v>183</v>
      </c>
      <c r="D21" s="156" t="s">
        <v>184</v>
      </c>
      <c r="E21" s="154"/>
      <c r="F21" s="154"/>
      <c r="G21" s="157" t="s">
        <v>426</v>
      </c>
      <c r="H21" s="154"/>
      <c r="I21" s="96"/>
      <c r="J21" s="176">
        <v>1</v>
      </c>
      <c r="K21" s="154" t="s">
        <v>349</v>
      </c>
      <c r="L21" s="154"/>
      <c r="M21" s="154"/>
      <c r="N21" s="154"/>
      <c r="O21" s="154"/>
      <c r="P21" s="154"/>
      <c r="Q21" s="154"/>
      <c r="R21" s="154"/>
      <c r="S21" s="154"/>
      <c r="T21" s="154"/>
    </row>
    <row r="22" spans="1:20" x14ac:dyDescent="0.2">
      <c r="A22" s="154" t="s">
        <v>182</v>
      </c>
      <c r="B22" s="154"/>
      <c r="C22" s="96">
        <v>0</v>
      </c>
      <c r="D22" s="160">
        <v>0</v>
      </c>
      <c r="E22" s="154"/>
      <c r="F22" s="154"/>
      <c r="G22" s="157" t="s">
        <v>428</v>
      </c>
      <c r="H22" s="154"/>
      <c r="I22" s="96"/>
      <c r="J22" s="176">
        <v>1</v>
      </c>
      <c r="K22" s="154" t="s">
        <v>355</v>
      </c>
      <c r="L22" s="154"/>
      <c r="M22" s="154"/>
      <c r="N22" s="154"/>
      <c r="O22" s="154"/>
      <c r="P22" s="154"/>
      <c r="Q22" s="154"/>
      <c r="R22" s="154"/>
      <c r="S22" s="154"/>
      <c r="T22" s="154"/>
    </row>
    <row r="23" spans="1:20" x14ac:dyDescent="0.2">
      <c r="A23" s="154" t="s">
        <v>178</v>
      </c>
      <c r="B23" s="154"/>
      <c r="C23" s="96">
        <v>30</v>
      </c>
      <c r="D23" s="160">
        <v>0.5</v>
      </c>
      <c r="E23" s="154"/>
      <c r="F23" s="154"/>
      <c r="G23" s="157" t="s">
        <v>429</v>
      </c>
      <c r="H23" s="154"/>
      <c r="I23" s="96"/>
      <c r="J23" s="176">
        <v>1</v>
      </c>
      <c r="K23" s="154" t="s">
        <v>355</v>
      </c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x14ac:dyDescent="0.2">
      <c r="A24" s="154" t="s">
        <v>180</v>
      </c>
      <c r="B24" s="154"/>
      <c r="C24" s="96">
        <v>1000</v>
      </c>
      <c r="D24" s="160">
        <v>0.5</v>
      </c>
      <c r="E24" s="154"/>
      <c r="F24" s="154"/>
      <c r="G24" s="157" t="s">
        <v>418</v>
      </c>
      <c r="H24" s="154"/>
      <c r="I24" s="96"/>
      <c r="J24" s="176">
        <v>1</v>
      </c>
      <c r="K24" s="154" t="s">
        <v>359</v>
      </c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x14ac:dyDescent="0.2">
      <c r="A25" s="154" t="s">
        <v>179</v>
      </c>
      <c r="B25" s="154"/>
      <c r="C25" s="96">
        <v>15</v>
      </c>
      <c r="D25" s="160">
        <v>0.5</v>
      </c>
      <c r="E25" s="154"/>
      <c r="F25" s="154"/>
      <c r="G25" s="157" t="s">
        <v>419</v>
      </c>
      <c r="H25" s="154"/>
      <c r="I25" s="96"/>
      <c r="J25" s="176">
        <v>0</v>
      </c>
      <c r="K25" s="154" t="s">
        <v>363</v>
      </c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x14ac:dyDescent="0.2">
      <c r="A26" s="154" t="s">
        <v>181</v>
      </c>
      <c r="B26" s="154"/>
      <c r="C26" s="96">
        <v>500</v>
      </c>
      <c r="D26" s="160">
        <v>0.5</v>
      </c>
      <c r="E26" s="154"/>
      <c r="F26" s="154"/>
      <c r="G26" s="157" t="s">
        <v>420</v>
      </c>
      <c r="H26" s="154"/>
      <c r="I26" s="96"/>
      <c r="J26" s="176">
        <v>1</v>
      </c>
      <c r="K26" s="154" t="s">
        <v>368</v>
      </c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x14ac:dyDescent="0.2">
      <c r="A27" s="154"/>
      <c r="B27" s="154"/>
      <c r="C27" s="96"/>
      <c r="D27" s="96"/>
      <c r="E27" s="154"/>
      <c r="F27" s="154"/>
      <c r="G27" s="157" t="s">
        <v>511</v>
      </c>
      <c r="H27" s="154"/>
      <c r="I27" s="154"/>
      <c r="J27" s="176">
        <v>2</v>
      </c>
      <c r="K27" s="154" t="s">
        <v>437</v>
      </c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x14ac:dyDescent="0.2">
      <c r="A28" s="154"/>
      <c r="B28" s="154"/>
      <c r="C28" s="96"/>
      <c r="D28" s="96"/>
      <c r="E28" s="154"/>
      <c r="F28" s="154"/>
      <c r="G28" s="157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x14ac:dyDescent="0.2">
      <c r="A29" s="151" t="s">
        <v>219</v>
      </c>
      <c r="B29" s="154"/>
      <c r="C29" s="96"/>
      <c r="D29" s="96"/>
      <c r="E29" s="154"/>
      <c r="F29" s="154"/>
      <c r="G29" s="154"/>
      <c r="H29" s="154"/>
      <c r="I29" s="154"/>
      <c r="J29" s="154"/>
      <c r="K29" s="154"/>
      <c r="L29" s="154"/>
      <c r="O29" s="151" t="s">
        <v>496</v>
      </c>
      <c r="P29" s="151"/>
      <c r="Q29" s="151"/>
      <c r="R29" s="151"/>
      <c r="S29" s="151"/>
      <c r="T29" s="154"/>
    </row>
    <row r="30" spans="1:20" ht="14.25" x14ac:dyDescent="0.2">
      <c r="A30" s="151"/>
      <c r="B30" s="151"/>
      <c r="C30" s="152"/>
      <c r="D30" s="151" t="s">
        <v>144</v>
      </c>
      <c r="E30" s="152"/>
      <c r="F30" s="166" t="s">
        <v>77</v>
      </c>
      <c r="G30" s="166" t="s">
        <v>487</v>
      </c>
      <c r="H30" s="166" t="s">
        <v>18</v>
      </c>
      <c r="I30" s="163" t="s">
        <v>198</v>
      </c>
      <c r="J30" s="166"/>
      <c r="K30" s="155" t="s">
        <v>488</v>
      </c>
      <c r="L30" s="166"/>
      <c r="M30" s="163" t="s">
        <v>491</v>
      </c>
      <c r="N30" s="163"/>
      <c r="O30" s="166" t="s">
        <v>497</v>
      </c>
      <c r="P30" s="151"/>
      <c r="Q30" s="151" t="s">
        <v>178</v>
      </c>
      <c r="R30" s="151"/>
      <c r="S30" s="151" t="s">
        <v>180</v>
      </c>
      <c r="T30" s="154"/>
    </row>
    <row r="31" spans="1:20" ht="14.25" x14ac:dyDescent="0.2">
      <c r="A31" s="153" t="s">
        <v>251</v>
      </c>
      <c r="B31" s="153" t="s">
        <v>143</v>
      </c>
      <c r="C31" s="167"/>
      <c r="D31" s="153" t="s">
        <v>142</v>
      </c>
      <c r="E31" s="168" t="s">
        <v>433</v>
      </c>
      <c r="F31" s="169" t="s">
        <v>81</v>
      </c>
      <c r="G31" s="158" t="s">
        <v>22</v>
      </c>
      <c r="H31" s="158" t="s">
        <v>23</v>
      </c>
      <c r="I31" s="158" t="s">
        <v>183</v>
      </c>
      <c r="J31" s="169" t="s">
        <v>184</v>
      </c>
      <c r="K31" s="158" t="s">
        <v>183</v>
      </c>
      <c r="L31" s="158" t="s">
        <v>184</v>
      </c>
      <c r="M31" s="158" t="s">
        <v>183</v>
      </c>
      <c r="N31" s="158" t="s">
        <v>184</v>
      </c>
      <c r="O31" s="158" t="s">
        <v>183</v>
      </c>
      <c r="P31" s="158" t="s">
        <v>184</v>
      </c>
      <c r="Q31" s="158" t="s">
        <v>183</v>
      </c>
      <c r="R31" s="158" t="s">
        <v>184</v>
      </c>
      <c r="S31" s="158" t="s">
        <v>183</v>
      </c>
      <c r="T31" s="158" t="s">
        <v>184</v>
      </c>
    </row>
    <row r="32" spans="1:20" x14ac:dyDescent="0.2">
      <c r="A32" s="2">
        <v>1</v>
      </c>
      <c r="B32" t="s">
        <v>631</v>
      </c>
      <c r="D32">
        <v>2</v>
      </c>
      <c r="E32">
        <v>1</v>
      </c>
      <c r="F32">
        <v>10</v>
      </c>
      <c r="G32">
        <v>5</v>
      </c>
      <c r="H32">
        <v>20</v>
      </c>
      <c r="I32">
        <v>0</v>
      </c>
      <c r="J32">
        <v>0</v>
      </c>
      <c r="K32">
        <v>0</v>
      </c>
      <c r="L32">
        <v>0</v>
      </c>
      <c r="M32">
        <v>7.9999998211860657E-2</v>
      </c>
      <c r="N32">
        <v>0.20000000298023224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2">
      <c r="A33" s="2">
        <v>2</v>
      </c>
      <c r="B33" t="s">
        <v>632</v>
      </c>
      <c r="D33">
        <v>3</v>
      </c>
      <c r="E33">
        <v>1</v>
      </c>
      <c r="F33">
        <v>10</v>
      </c>
      <c r="G33">
        <v>10</v>
      </c>
      <c r="H33">
        <v>20</v>
      </c>
      <c r="I33">
        <v>0</v>
      </c>
      <c r="J33">
        <v>0</v>
      </c>
      <c r="K33">
        <v>0</v>
      </c>
      <c r="L33">
        <v>0</v>
      </c>
      <c r="M33">
        <v>7.9999998211860657E-2</v>
      </c>
      <c r="N33">
        <v>0.20000000298023224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2">
      <c r="A34" s="2">
        <v>3</v>
      </c>
      <c r="B34" t="s">
        <v>633</v>
      </c>
      <c r="D34">
        <v>0</v>
      </c>
      <c r="E34">
        <v>1</v>
      </c>
      <c r="F34">
        <v>10</v>
      </c>
      <c r="G34">
        <v>15</v>
      </c>
      <c r="H34">
        <v>20</v>
      </c>
      <c r="I34">
        <v>0</v>
      </c>
      <c r="J34">
        <v>0</v>
      </c>
      <c r="K34">
        <v>0</v>
      </c>
      <c r="L34">
        <v>0</v>
      </c>
      <c r="M34">
        <v>7.9999998211860657E-2</v>
      </c>
      <c r="N34">
        <v>0.20000000298023224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6" spans="1:20" x14ac:dyDescent="0.2">
      <c r="A36" s="151" t="s">
        <v>493</v>
      </c>
      <c r="B36" s="96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</row>
    <row r="37" spans="1:20" x14ac:dyDescent="0.2">
      <c r="A37" s="151"/>
      <c r="B37" s="180" t="s">
        <v>623</v>
      </c>
      <c r="C37" s="155"/>
      <c r="D37" s="163" t="s">
        <v>201</v>
      </c>
      <c r="E37" s="163"/>
      <c r="F37" s="155" t="s">
        <v>202</v>
      </c>
      <c r="G37" s="155"/>
      <c r="H37" s="163" t="s">
        <v>492</v>
      </c>
      <c r="I37" s="155"/>
      <c r="J37" s="155" t="s">
        <v>204</v>
      </c>
      <c r="K37" s="155"/>
      <c r="L37" s="163" t="s">
        <v>213</v>
      </c>
      <c r="M37" s="155"/>
      <c r="N37" s="163" t="s">
        <v>494</v>
      </c>
      <c r="O37" s="151"/>
      <c r="P37" s="163" t="s">
        <v>489</v>
      </c>
      <c r="Q37" s="151"/>
      <c r="R37" s="163" t="s">
        <v>490</v>
      </c>
      <c r="S37" s="151"/>
    </row>
    <row r="38" spans="1:20" x14ac:dyDescent="0.2">
      <c r="A38" s="153" t="s">
        <v>251</v>
      </c>
      <c r="B38" s="158" t="s">
        <v>183</v>
      </c>
      <c r="C38" s="158" t="s">
        <v>184</v>
      </c>
      <c r="D38" s="158" t="s">
        <v>183</v>
      </c>
      <c r="E38" s="158" t="s">
        <v>184</v>
      </c>
      <c r="F38" s="158" t="s">
        <v>183</v>
      </c>
      <c r="G38" s="158" t="s">
        <v>184</v>
      </c>
      <c r="H38" s="158" t="s">
        <v>183</v>
      </c>
      <c r="I38" s="158" t="s">
        <v>184</v>
      </c>
      <c r="J38" s="158" t="s">
        <v>183</v>
      </c>
      <c r="K38" s="158" t="s">
        <v>184</v>
      </c>
      <c r="L38" s="158" t="s">
        <v>183</v>
      </c>
      <c r="M38" s="158" t="s">
        <v>184</v>
      </c>
      <c r="N38" s="158" t="s">
        <v>183</v>
      </c>
      <c r="O38" s="158" t="s">
        <v>184</v>
      </c>
      <c r="P38" s="158" t="s">
        <v>183</v>
      </c>
      <c r="Q38" s="158" t="s">
        <v>184</v>
      </c>
      <c r="R38" s="158" t="s">
        <v>183</v>
      </c>
      <c r="S38" s="158" t="s">
        <v>184</v>
      </c>
    </row>
    <row r="39" spans="1:20" x14ac:dyDescent="0.2">
      <c r="A39" s="2">
        <v>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20" x14ac:dyDescent="0.2">
      <c r="A40" s="2">
        <v>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20" x14ac:dyDescent="0.2">
      <c r="A41" s="2">
        <v>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3" spans="1:20" x14ac:dyDescent="0.2">
      <c r="A43" s="163" t="s">
        <v>495</v>
      </c>
      <c r="B43" s="154"/>
      <c r="C43" s="96"/>
      <c r="D43" s="96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</row>
    <row r="44" spans="1:20" x14ac:dyDescent="0.2">
      <c r="A44" s="151"/>
      <c r="B44" s="155" t="s">
        <v>215</v>
      </c>
      <c r="C44" s="163"/>
      <c r="D44" s="163" t="s">
        <v>201</v>
      </c>
      <c r="E44" s="163"/>
      <c r="F44" s="155" t="s">
        <v>202</v>
      </c>
      <c r="G44" s="155"/>
      <c r="H44" s="163" t="s">
        <v>492</v>
      </c>
      <c r="I44" s="155"/>
      <c r="J44" s="155" t="s">
        <v>204</v>
      </c>
      <c r="K44" s="155"/>
      <c r="L44" s="163" t="s">
        <v>213</v>
      </c>
      <c r="M44" s="155"/>
      <c r="N44" s="163" t="s">
        <v>494</v>
      </c>
      <c r="O44" s="151"/>
      <c r="P44" s="163" t="s">
        <v>489</v>
      </c>
      <c r="Q44" s="151"/>
      <c r="R44" s="163" t="s">
        <v>490</v>
      </c>
      <c r="S44" s="151"/>
    </row>
    <row r="45" spans="1:20" x14ac:dyDescent="0.2">
      <c r="A45" s="153" t="s">
        <v>251</v>
      </c>
      <c r="B45" s="158" t="s">
        <v>183</v>
      </c>
      <c r="C45" s="158" t="s">
        <v>184</v>
      </c>
      <c r="D45" s="158" t="s">
        <v>183</v>
      </c>
      <c r="E45" s="158" t="s">
        <v>184</v>
      </c>
      <c r="F45" s="158" t="s">
        <v>183</v>
      </c>
      <c r="G45" s="158" t="s">
        <v>184</v>
      </c>
      <c r="H45" s="158" t="s">
        <v>183</v>
      </c>
      <c r="I45" s="158" t="s">
        <v>184</v>
      </c>
      <c r="J45" s="158" t="s">
        <v>183</v>
      </c>
      <c r="K45" s="158" t="s">
        <v>184</v>
      </c>
      <c r="L45" s="158" t="s">
        <v>183</v>
      </c>
      <c r="M45" s="158" t="s">
        <v>184</v>
      </c>
      <c r="N45" s="158" t="s">
        <v>183</v>
      </c>
      <c r="O45" s="158" t="s">
        <v>184</v>
      </c>
      <c r="P45" s="158" t="s">
        <v>183</v>
      </c>
      <c r="Q45" s="158" t="s">
        <v>184</v>
      </c>
      <c r="R45" s="158" t="s">
        <v>183</v>
      </c>
      <c r="S45" s="158" t="s">
        <v>184</v>
      </c>
    </row>
    <row r="46" spans="1:20" x14ac:dyDescent="0.2">
      <c r="A46" s="2">
        <v>1</v>
      </c>
      <c r="B46">
        <v>1</v>
      </c>
      <c r="C46">
        <v>0</v>
      </c>
      <c r="D46">
        <v>1</v>
      </c>
      <c r="E46">
        <v>0</v>
      </c>
      <c r="F46">
        <v>1</v>
      </c>
      <c r="G46">
        <v>0</v>
      </c>
      <c r="H46">
        <v>1</v>
      </c>
      <c r="I46">
        <v>0</v>
      </c>
      <c r="J46">
        <v>1</v>
      </c>
      <c r="K46">
        <v>0</v>
      </c>
      <c r="L46">
        <v>1</v>
      </c>
      <c r="M46">
        <v>0</v>
      </c>
      <c r="N46">
        <v>1</v>
      </c>
      <c r="O46">
        <v>0</v>
      </c>
      <c r="P46">
        <v>1</v>
      </c>
      <c r="Q46">
        <v>0</v>
      </c>
      <c r="R46">
        <v>1</v>
      </c>
      <c r="S46">
        <v>0</v>
      </c>
    </row>
    <row r="47" spans="1:20" x14ac:dyDescent="0.2">
      <c r="A47" s="2">
        <v>2</v>
      </c>
      <c r="B47">
        <v>1</v>
      </c>
      <c r="C47">
        <v>0</v>
      </c>
      <c r="D47">
        <v>1</v>
      </c>
      <c r="E47">
        <v>0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v>1</v>
      </c>
      <c r="M47">
        <v>0</v>
      </c>
      <c r="N47">
        <v>1</v>
      </c>
      <c r="O47">
        <v>0</v>
      </c>
      <c r="P47">
        <v>1</v>
      </c>
      <c r="Q47">
        <v>0</v>
      </c>
      <c r="R47">
        <v>1</v>
      </c>
      <c r="S47">
        <v>0</v>
      </c>
    </row>
    <row r="48" spans="1:20" x14ac:dyDescent="0.2">
      <c r="A48" s="2">
        <v>3</v>
      </c>
      <c r="B48">
        <v>1</v>
      </c>
      <c r="C48">
        <v>0</v>
      </c>
      <c r="D48">
        <v>1</v>
      </c>
      <c r="E48">
        <v>0</v>
      </c>
      <c r="F48">
        <v>1</v>
      </c>
      <c r="G48">
        <v>0</v>
      </c>
      <c r="H48">
        <v>1</v>
      </c>
      <c r="I48">
        <v>0</v>
      </c>
      <c r="J48">
        <v>1</v>
      </c>
      <c r="K48">
        <v>0</v>
      </c>
      <c r="L48">
        <v>1</v>
      </c>
      <c r="M48">
        <v>0</v>
      </c>
      <c r="N48">
        <v>1</v>
      </c>
      <c r="O48">
        <v>0</v>
      </c>
      <c r="P48">
        <v>1</v>
      </c>
      <c r="Q48">
        <v>0</v>
      </c>
      <c r="R48">
        <v>1</v>
      </c>
      <c r="S48">
        <v>0</v>
      </c>
    </row>
    <row r="50" spans="1:18" x14ac:dyDescent="0.2">
      <c r="A50" s="151" t="s">
        <v>270</v>
      </c>
      <c r="B50" s="151"/>
      <c r="C50" s="152"/>
      <c r="D50" s="152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</row>
    <row r="51" spans="1:18" ht="14.25" x14ac:dyDescent="0.2">
      <c r="A51" s="151"/>
      <c r="B51" s="151"/>
      <c r="C51" s="152"/>
      <c r="D51" s="152"/>
      <c r="E51" s="151"/>
      <c r="F51" s="151" t="s">
        <v>498</v>
      </c>
      <c r="G51" s="163" t="s">
        <v>499</v>
      </c>
      <c r="H51" s="151"/>
      <c r="I51" s="163" t="s">
        <v>622</v>
      </c>
      <c r="J51" s="151"/>
      <c r="K51" s="151" t="s">
        <v>201</v>
      </c>
      <c r="L51" s="151"/>
      <c r="M51" s="151" t="s">
        <v>202</v>
      </c>
      <c r="N51" s="151"/>
      <c r="O51" s="151" t="s">
        <v>225</v>
      </c>
      <c r="P51" s="151"/>
      <c r="Q51" s="151" t="s">
        <v>226</v>
      </c>
      <c r="R51" s="151"/>
    </row>
    <row r="52" spans="1:18" ht="14.25" x14ac:dyDescent="0.2">
      <c r="A52" s="153" t="s">
        <v>86</v>
      </c>
      <c r="B52" s="153" t="s">
        <v>514</v>
      </c>
      <c r="C52" s="153"/>
      <c r="D52" s="153" t="s">
        <v>142</v>
      </c>
      <c r="E52" s="164" t="s">
        <v>159</v>
      </c>
      <c r="F52" s="169" t="s">
        <v>81</v>
      </c>
      <c r="G52" s="158" t="s">
        <v>183</v>
      </c>
      <c r="H52" s="158" t="s">
        <v>184</v>
      </c>
      <c r="I52" s="158" t="s">
        <v>183</v>
      </c>
      <c r="J52" s="158" t="s">
        <v>184</v>
      </c>
      <c r="K52" s="158" t="s">
        <v>183</v>
      </c>
      <c r="L52" s="158" t="s">
        <v>184</v>
      </c>
      <c r="M52" s="158" t="s">
        <v>183</v>
      </c>
      <c r="N52" s="158" t="s">
        <v>184</v>
      </c>
      <c r="O52" s="158" t="s">
        <v>183</v>
      </c>
      <c r="P52" s="158" t="s">
        <v>184</v>
      </c>
      <c r="Q52" s="158" t="s">
        <v>183</v>
      </c>
      <c r="R52" s="158" t="s">
        <v>184</v>
      </c>
    </row>
    <row r="53" spans="1:18" x14ac:dyDescent="0.2">
      <c r="A53" s="2">
        <v>1</v>
      </c>
      <c r="B53" t="s">
        <v>634</v>
      </c>
      <c r="D53">
        <v>1</v>
      </c>
      <c r="E53">
        <v>1</v>
      </c>
      <c r="F53">
        <v>1000</v>
      </c>
      <c r="G53">
        <v>200</v>
      </c>
      <c r="H53">
        <v>0.10000000149011612</v>
      </c>
      <c r="I53">
        <v>0</v>
      </c>
      <c r="J53">
        <v>0</v>
      </c>
      <c r="K53">
        <v>100</v>
      </c>
      <c r="L53">
        <v>0.20000000298023224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2">
      <c r="A54" s="2">
        <v>2</v>
      </c>
      <c r="B54" t="s">
        <v>635</v>
      </c>
      <c r="D54">
        <v>2</v>
      </c>
      <c r="E54">
        <v>1</v>
      </c>
      <c r="F54">
        <v>100</v>
      </c>
      <c r="G54">
        <v>20</v>
      </c>
      <c r="H54">
        <v>0.10000000149011612</v>
      </c>
      <c r="I54">
        <v>0</v>
      </c>
      <c r="J54">
        <v>0</v>
      </c>
      <c r="K54">
        <v>167</v>
      </c>
      <c r="L54">
        <v>0.20000000298023224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2">
      <c r="A55" s="2">
        <v>3</v>
      </c>
      <c r="B55" t="s">
        <v>636</v>
      </c>
      <c r="D55">
        <v>1</v>
      </c>
      <c r="E55">
        <v>1</v>
      </c>
      <c r="F55">
        <v>50</v>
      </c>
      <c r="G55">
        <v>10</v>
      </c>
      <c r="H55">
        <v>0.10000000149011612</v>
      </c>
      <c r="I55">
        <v>0</v>
      </c>
      <c r="J55">
        <v>0</v>
      </c>
      <c r="K55">
        <v>167</v>
      </c>
      <c r="L55">
        <v>0.20000000298023224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7" spans="1:18" x14ac:dyDescent="0.2">
      <c r="A57" s="175" t="s">
        <v>506</v>
      </c>
      <c r="B57" s="154"/>
      <c r="D57" s="156" t="s">
        <v>183</v>
      </c>
      <c r="E57" s="156" t="s">
        <v>184</v>
      </c>
      <c r="F57" s="153"/>
    </row>
    <row r="58" spans="1:18" x14ac:dyDescent="0.2">
      <c r="A58" s="154" t="s">
        <v>215</v>
      </c>
      <c r="B58" s="154"/>
      <c r="D58" s="177">
        <v>1</v>
      </c>
      <c r="E58" s="160">
        <v>0.69999998807907104</v>
      </c>
      <c r="F58" s="154"/>
    </row>
    <row r="59" spans="1:18" x14ac:dyDescent="0.2">
      <c r="A59" s="154" t="s">
        <v>272</v>
      </c>
      <c r="B59" s="154"/>
      <c r="D59" s="177">
        <v>1</v>
      </c>
      <c r="E59" s="160">
        <v>0.44999998807907104</v>
      </c>
      <c r="F59" s="154"/>
    </row>
    <row r="60" spans="1:18" x14ac:dyDescent="0.2">
      <c r="A60" s="154" t="s">
        <v>271</v>
      </c>
      <c r="B60" s="154"/>
      <c r="D60" s="177">
        <v>1</v>
      </c>
      <c r="E60" s="160">
        <v>0.55000001192092896</v>
      </c>
      <c r="F60" s="154"/>
    </row>
    <row r="61" spans="1:18" x14ac:dyDescent="0.2">
      <c r="A61" s="154" t="s">
        <v>238</v>
      </c>
      <c r="B61" s="154"/>
      <c r="D61" s="177">
        <v>1</v>
      </c>
      <c r="E61" s="160">
        <v>0.25999999046325684</v>
      </c>
      <c r="F61" s="154"/>
    </row>
    <row r="62" spans="1:18" x14ac:dyDescent="0.2">
      <c r="A62" s="154" t="s">
        <v>239</v>
      </c>
      <c r="B62" s="154"/>
      <c r="D62" s="177">
        <v>1</v>
      </c>
      <c r="E62" s="160">
        <v>0.10000000149011612</v>
      </c>
      <c r="F62" s="154"/>
    </row>
    <row r="63" spans="1:18" x14ac:dyDescent="0.2">
      <c r="A63" s="154" t="s">
        <v>240</v>
      </c>
      <c r="B63" s="154"/>
      <c r="D63" s="177">
        <v>1</v>
      </c>
      <c r="E63" s="160">
        <v>0.11999999731779099</v>
      </c>
      <c r="F63" s="154"/>
    </row>
    <row r="64" spans="1:18" x14ac:dyDescent="0.2">
      <c r="A64" s="154" t="s">
        <v>241</v>
      </c>
      <c r="B64" s="154"/>
      <c r="D64" s="177">
        <v>1</v>
      </c>
      <c r="E64" s="160">
        <v>0.15000000596046448</v>
      </c>
      <c r="F64" s="154"/>
    </row>
    <row r="65" spans="1:11" x14ac:dyDescent="0.2">
      <c r="A65" s="154" t="s">
        <v>254</v>
      </c>
      <c r="B65" s="154"/>
      <c r="D65" s="177">
        <v>1</v>
      </c>
      <c r="E65" s="160">
        <v>0.15000000596046448</v>
      </c>
      <c r="F65" s="154"/>
    </row>
    <row r="66" spans="1:11" x14ac:dyDescent="0.2">
      <c r="A66" s="154" t="s">
        <v>255</v>
      </c>
      <c r="B66" s="154"/>
      <c r="D66" s="177">
        <v>1</v>
      </c>
      <c r="E66" s="160">
        <v>0.2199999988079071</v>
      </c>
      <c r="F66" s="154"/>
    </row>
    <row r="67" spans="1:11" ht="14.25" x14ac:dyDescent="0.2">
      <c r="A67" s="157" t="s">
        <v>519</v>
      </c>
      <c r="B67" s="154"/>
      <c r="D67" s="177">
        <v>2.500000037252903E-2</v>
      </c>
      <c r="E67" s="160">
        <v>0</v>
      </c>
      <c r="F67" s="154"/>
    </row>
    <row r="68" spans="1:11" x14ac:dyDescent="0.2">
      <c r="A68" s="157" t="s">
        <v>258</v>
      </c>
      <c r="B68" s="154"/>
      <c r="D68" s="177">
        <v>0.10000000149011612</v>
      </c>
      <c r="E68" s="160">
        <v>0</v>
      </c>
      <c r="F68" s="154"/>
    </row>
    <row r="69" spans="1:11" x14ac:dyDescent="0.2">
      <c r="A69" s="157" t="s">
        <v>259</v>
      </c>
      <c r="B69" s="154"/>
      <c r="D69" s="177">
        <v>1</v>
      </c>
      <c r="E69" s="160">
        <v>0</v>
      </c>
      <c r="F69" s="154"/>
    </row>
    <row r="70" spans="1:11" x14ac:dyDescent="0.2">
      <c r="A70" s="154" t="s">
        <v>257</v>
      </c>
      <c r="B70" s="154"/>
      <c r="C70" s="160"/>
      <c r="D70" s="177">
        <v>0.62000000476837158</v>
      </c>
      <c r="E70" s="154">
        <v>0</v>
      </c>
      <c r="F70" s="154"/>
      <c r="G70" s="154"/>
      <c r="H70" s="154"/>
      <c r="I70" s="154"/>
      <c r="J70" s="154"/>
      <c r="K70" s="154"/>
    </row>
    <row r="71" spans="1:11" x14ac:dyDescent="0.2">
      <c r="A71" s="157" t="s">
        <v>515</v>
      </c>
      <c r="B71" s="154"/>
      <c r="C71" s="160"/>
      <c r="D71" s="177">
        <v>0.33000001311302185</v>
      </c>
      <c r="E71" s="154">
        <v>0</v>
      </c>
      <c r="F71" s="154"/>
      <c r="G71" s="154"/>
      <c r="H71" s="154"/>
      <c r="I71" s="154"/>
      <c r="J71" s="154"/>
      <c r="K71" s="154"/>
    </row>
    <row r="72" spans="1:11" x14ac:dyDescent="0.2">
      <c r="A72" s="157" t="s">
        <v>516</v>
      </c>
      <c r="B72" s="154"/>
      <c r="C72" s="160"/>
      <c r="D72" s="177">
        <v>1.9299999475479126</v>
      </c>
      <c r="E72" s="154">
        <v>0</v>
      </c>
      <c r="F72" s="154"/>
      <c r="G72" s="154"/>
      <c r="H72" s="154"/>
      <c r="I72" s="154"/>
      <c r="J72" s="154"/>
      <c r="K72" s="154"/>
    </row>
    <row r="73" spans="1:11" x14ac:dyDescent="0.2">
      <c r="A73" s="157" t="s">
        <v>517</v>
      </c>
      <c r="B73" s="154"/>
      <c r="C73" s="160"/>
      <c r="D73" s="177">
        <v>0.5899999737739563</v>
      </c>
      <c r="E73" s="154">
        <v>0</v>
      </c>
      <c r="F73" s="154"/>
      <c r="G73" s="154"/>
      <c r="H73" s="154"/>
      <c r="I73" s="154"/>
      <c r="J73" s="154"/>
      <c r="K73" s="154"/>
    </row>
    <row r="74" spans="1:11" x14ac:dyDescent="0.2">
      <c r="A74" s="157" t="s">
        <v>518</v>
      </c>
      <c r="B74" s="154"/>
      <c r="C74" s="160"/>
      <c r="D74" s="177">
        <v>0.79000002145767212</v>
      </c>
      <c r="E74" s="154">
        <v>0</v>
      </c>
      <c r="F74" s="154"/>
      <c r="G74" s="154"/>
      <c r="H74" s="154"/>
      <c r="I74" s="154"/>
      <c r="J74" s="154"/>
      <c r="K74" s="154"/>
    </row>
  </sheetData>
  <phoneticPr fontId="1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331D2-D210-4404-B180-881F8A71E385}">
  <sheetPr codeName="Sheet3">
    <pageSetUpPr autoPageBreaks="0"/>
  </sheetPr>
  <dimension ref="A1:CX182"/>
  <sheetViews>
    <sheetView showGridLines="0" tabSelected="1" topLeftCell="A100" workbookViewId="0">
      <selection activeCell="G131" sqref="G131"/>
    </sheetView>
  </sheetViews>
  <sheetFormatPr defaultRowHeight="12.75" x14ac:dyDescent="0.2"/>
  <cols>
    <col min="1" max="1" width="23.7109375" customWidth="1"/>
    <col min="18" max="16384" width="9.140625" style="113"/>
  </cols>
  <sheetData>
    <row r="1" spans="1:8" ht="15.75" x14ac:dyDescent="0.25">
      <c r="A1" s="136" t="s">
        <v>105</v>
      </c>
      <c r="C1" s="9" t="s">
        <v>194</v>
      </c>
      <c r="D1" s="9"/>
      <c r="E1" s="9"/>
      <c r="F1" s="9"/>
    </row>
    <row r="2" spans="1:8" ht="15.75" x14ac:dyDescent="0.25">
      <c r="A2" s="67"/>
      <c r="E2" s="9"/>
      <c r="F2" s="9"/>
    </row>
    <row r="3" spans="1:8" x14ac:dyDescent="0.2">
      <c r="A3" s="146" t="s">
        <v>423</v>
      </c>
      <c r="B3" s="133"/>
      <c r="C3" s="104" t="s">
        <v>50</v>
      </c>
      <c r="D3" s="105"/>
      <c r="E3" s="106"/>
      <c r="F3" s="106"/>
      <c r="G3" s="134"/>
      <c r="H3" s="135"/>
    </row>
    <row r="4" spans="1:8" x14ac:dyDescent="0.2">
      <c r="C4" s="35"/>
      <c r="D4" s="35"/>
    </row>
    <row r="5" spans="1:8" x14ac:dyDescent="0.2">
      <c r="A5" s="10" t="s">
        <v>430</v>
      </c>
      <c r="B5" s="124"/>
      <c r="C5" s="46">
        <v>7</v>
      </c>
      <c r="D5" s="35"/>
    </row>
    <row r="6" spans="1:8" x14ac:dyDescent="0.2">
      <c r="A6" s="11" t="s">
        <v>431</v>
      </c>
      <c r="B6" s="123"/>
      <c r="C6" s="47">
        <v>13</v>
      </c>
      <c r="D6" s="35"/>
    </row>
    <row r="7" spans="1:8" x14ac:dyDescent="0.2">
      <c r="A7" s="15" t="s">
        <v>117</v>
      </c>
      <c r="B7" s="125"/>
      <c r="C7" s="56">
        <v>0</v>
      </c>
      <c r="D7" s="35"/>
    </row>
    <row r="8" spans="1:8" x14ac:dyDescent="0.2">
      <c r="C8" s="35"/>
      <c r="D8" s="35"/>
    </row>
    <row r="9" spans="1:8" x14ac:dyDescent="0.2">
      <c r="A9" s="10" t="s">
        <v>432</v>
      </c>
      <c r="B9" s="3"/>
      <c r="C9" s="31" t="s">
        <v>444</v>
      </c>
      <c r="D9" s="32"/>
      <c r="E9" s="23"/>
      <c r="F9" s="24"/>
    </row>
    <row r="10" spans="1:8" x14ac:dyDescent="0.2">
      <c r="A10" s="11" t="s">
        <v>432</v>
      </c>
      <c r="B10" s="5"/>
      <c r="C10" s="36" t="s">
        <v>445</v>
      </c>
      <c r="D10" s="37"/>
      <c r="E10" s="25"/>
      <c r="F10" s="26"/>
    </row>
    <row r="11" spans="1:8" x14ac:dyDescent="0.2">
      <c r="A11" s="11" t="s">
        <v>432</v>
      </c>
      <c r="B11" s="5"/>
      <c r="C11" s="90" t="s">
        <v>446</v>
      </c>
      <c r="D11" s="37"/>
      <c r="E11" s="25"/>
      <c r="F11" s="26"/>
    </row>
    <row r="12" spans="1:8" x14ac:dyDescent="0.2">
      <c r="A12" s="11" t="s">
        <v>432</v>
      </c>
      <c r="B12" s="5"/>
      <c r="C12" s="36" t="s">
        <v>447</v>
      </c>
      <c r="D12" s="37"/>
      <c r="E12" s="25"/>
      <c r="F12" s="26"/>
    </row>
    <row r="13" spans="1:8" x14ac:dyDescent="0.2">
      <c r="A13" s="11" t="s">
        <v>432</v>
      </c>
      <c r="B13" s="5"/>
      <c r="C13" s="36" t="s">
        <v>448</v>
      </c>
      <c r="D13" s="37"/>
      <c r="E13" s="25"/>
      <c r="F13" s="26"/>
    </row>
    <row r="14" spans="1:8" x14ac:dyDescent="0.2">
      <c r="A14" s="11" t="s">
        <v>432</v>
      </c>
      <c r="B14" s="5"/>
      <c r="C14" s="36" t="s">
        <v>449</v>
      </c>
      <c r="D14" s="37"/>
      <c r="E14" s="25"/>
      <c r="F14" s="26"/>
    </row>
    <row r="15" spans="1:8" x14ac:dyDescent="0.2">
      <c r="A15" s="11" t="s">
        <v>432</v>
      </c>
      <c r="B15" s="5"/>
      <c r="C15" s="36" t="s">
        <v>450</v>
      </c>
      <c r="D15" s="37"/>
      <c r="E15" s="25"/>
      <c r="F15" s="26"/>
    </row>
    <row r="16" spans="1:8" x14ac:dyDescent="0.2">
      <c r="A16" s="11" t="s">
        <v>432</v>
      </c>
      <c r="B16" s="5"/>
      <c r="C16" s="36" t="s">
        <v>451</v>
      </c>
      <c r="D16" s="37"/>
      <c r="E16" s="25"/>
      <c r="F16" s="26"/>
    </row>
    <row r="17" spans="1:6" x14ac:dyDescent="0.2">
      <c r="A17" s="11" t="s">
        <v>432</v>
      </c>
      <c r="B17" s="5"/>
      <c r="C17" s="36" t="s">
        <v>452</v>
      </c>
      <c r="D17" s="37"/>
      <c r="E17" s="25"/>
      <c r="F17" s="26"/>
    </row>
    <row r="18" spans="1:6" x14ac:dyDescent="0.2">
      <c r="A18" s="13" t="s">
        <v>432</v>
      </c>
      <c r="B18" s="8"/>
      <c r="C18" s="33" t="s">
        <v>453</v>
      </c>
      <c r="D18" s="34"/>
      <c r="E18" s="27"/>
      <c r="F18" s="28"/>
    </row>
    <row r="19" spans="1:6" x14ac:dyDescent="0.2">
      <c r="C19" s="35"/>
      <c r="D19" s="35"/>
    </row>
    <row r="20" spans="1:6" x14ac:dyDescent="0.2">
      <c r="A20" s="19" t="s">
        <v>0</v>
      </c>
      <c r="C20" s="38"/>
      <c r="D20" s="38"/>
    </row>
    <row r="21" spans="1:6" x14ac:dyDescent="0.2">
      <c r="A21" s="10" t="s">
        <v>177</v>
      </c>
      <c r="B21" s="3"/>
      <c r="C21" s="108">
        <v>0.41999998688697815</v>
      </c>
      <c r="D21" s="55">
        <v>0</v>
      </c>
    </row>
    <row r="22" spans="1:6" x14ac:dyDescent="0.2">
      <c r="A22" s="12" t="s">
        <v>195</v>
      </c>
      <c r="B22" s="5"/>
      <c r="C22" s="109">
        <v>0.52999997138977051</v>
      </c>
      <c r="D22" s="48">
        <v>0.20000000298023224</v>
      </c>
    </row>
    <row r="23" spans="1:6" x14ac:dyDescent="0.2">
      <c r="A23" s="12" t="s">
        <v>196</v>
      </c>
      <c r="B23" s="5"/>
      <c r="C23" s="109">
        <v>0.89999997615814209</v>
      </c>
      <c r="D23" s="48">
        <v>0.30000001192092896</v>
      </c>
    </row>
    <row r="24" spans="1:6" x14ac:dyDescent="0.2">
      <c r="A24" s="15" t="s">
        <v>197</v>
      </c>
      <c r="B24" s="8"/>
      <c r="C24" s="110">
        <v>0</v>
      </c>
      <c r="D24" s="57">
        <v>0</v>
      </c>
    </row>
    <row r="25" spans="1:6" x14ac:dyDescent="0.2">
      <c r="C25" s="35"/>
      <c r="D25" s="35"/>
    </row>
    <row r="26" spans="1:6" ht="14.25" x14ac:dyDescent="0.2">
      <c r="A26" s="19" t="s">
        <v>410</v>
      </c>
      <c r="C26" s="38"/>
      <c r="D26" s="38"/>
    </row>
    <row r="27" spans="1:6" x14ac:dyDescent="0.2">
      <c r="A27" s="10" t="s">
        <v>182</v>
      </c>
      <c r="B27" s="3"/>
      <c r="C27" s="108">
        <v>0</v>
      </c>
      <c r="D27" s="55">
        <v>0</v>
      </c>
    </row>
    <row r="28" spans="1:6" x14ac:dyDescent="0.2">
      <c r="A28" s="11" t="s">
        <v>178</v>
      </c>
      <c r="B28" s="5"/>
      <c r="C28" s="109">
        <v>30</v>
      </c>
      <c r="D28" s="48">
        <v>0.5</v>
      </c>
    </row>
    <row r="29" spans="1:6" x14ac:dyDescent="0.2">
      <c r="A29" s="11" t="s">
        <v>180</v>
      </c>
      <c r="B29" s="5"/>
      <c r="C29" s="109">
        <v>1000</v>
      </c>
      <c r="D29" s="48">
        <v>0.5</v>
      </c>
    </row>
    <row r="30" spans="1:6" x14ac:dyDescent="0.2">
      <c r="A30" s="11" t="s">
        <v>179</v>
      </c>
      <c r="B30" s="5"/>
      <c r="C30" s="109">
        <v>15</v>
      </c>
      <c r="D30" s="48">
        <v>0.5</v>
      </c>
    </row>
    <row r="31" spans="1:6" x14ac:dyDescent="0.2">
      <c r="A31" s="13" t="s">
        <v>181</v>
      </c>
      <c r="B31" s="8"/>
      <c r="C31" s="110">
        <v>500</v>
      </c>
      <c r="D31" s="57">
        <v>0.5</v>
      </c>
    </row>
    <row r="32" spans="1:6" x14ac:dyDescent="0.2">
      <c r="C32" s="35"/>
      <c r="D32" s="35"/>
    </row>
    <row r="33" spans="1:52" x14ac:dyDescent="0.2">
      <c r="A33" s="9" t="s">
        <v>223</v>
      </c>
      <c r="B33" s="2"/>
    </row>
    <row r="34" spans="1:52" x14ac:dyDescent="0.2">
      <c r="A34" s="116" t="s">
        <v>207</v>
      </c>
      <c r="B34" s="126"/>
      <c r="C34" s="117">
        <v>1</v>
      </c>
      <c r="D34" s="30">
        <v>2</v>
      </c>
      <c r="E34" s="30">
        <v>3</v>
      </c>
      <c r="F34" s="30">
        <v>4</v>
      </c>
      <c r="G34" s="30">
        <v>5</v>
      </c>
      <c r="H34" s="30">
        <v>6</v>
      </c>
      <c r="I34" s="30">
        <v>7</v>
      </c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</row>
    <row r="35" spans="1:52" s="107" customFormat="1" x14ac:dyDescent="0.2">
      <c r="A35" s="127" t="s">
        <v>208</v>
      </c>
      <c r="B35" s="119"/>
      <c r="C35" s="55" t="s">
        <v>118</v>
      </c>
      <c r="D35" s="46" t="s">
        <v>119</v>
      </c>
      <c r="E35" s="46" t="s">
        <v>120</v>
      </c>
      <c r="F35" s="46" t="s">
        <v>121</v>
      </c>
      <c r="G35" s="46" t="s">
        <v>122</v>
      </c>
      <c r="H35" s="46" t="s">
        <v>123</v>
      </c>
      <c r="I35" s="46" t="s">
        <v>124</v>
      </c>
      <c r="J35" s="46"/>
      <c r="K35" s="46"/>
      <c r="L35" s="46"/>
      <c r="M35" s="46"/>
      <c r="N35" s="46"/>
      <c r="O35" s="46"/>
      <c r="P35" s="46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46"/>
    </row>
    <row r="36" spans="1:52" s="107" customFormat="1" x14ac:dyDescent="0.2">
      <c r="A36" s="114" t="s">
        <v>221</v>
      </c>
      <c r="B36" s="119"/>
      <c r="C36" s="48">
        <v>2</v>
      </c>
      <c r="D36" s="47">
        <v>3</v>
      </c>
      <c r="E36" s="47">
        <v>7</v>
      </c>
      <c r="F36" s="47">
        <v>5</v>
      </c>
      <c r="G36" s="47">
        <v>6</v>
      </c>
      <c r="H36" s="47">
        <v>7</v>
      </c>
      <c r="I36" s="47">
        <v>0</v>
      </c>
      <c r="J36" s="47"/>
      <c r="K36" s="47"/>
      <c r="L36" s="47"/>
      <c r="M36" s="47"/>
      <c r="N36" s="47"/>
      <c r="O36" s="47"/>
      <c r="P36" s="47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47"/>
    </row>
    <row r="37" spans="1:52" s="107" customFormat="1" x14ac:dyDescent="0.2">
      <c r="A37" s="114" t="s">
        <v>222</v>
      </c>
      <c r="B37" s="119"/>
      <c r="C37" s="48">
        <v>1</v>
      </c>
      <c r="D37" s="47">
        <v>1</v>
      </c>
      <c r="E37" s="47">
        <v>1</v>
      </c>
      <c r="F37" s="47">
        <v>1</v>
      </c>
      <c r="G37" s="47">
        <v>1</v>
      </c>
      <c r="H37" s="47">
        <v>1</v>
      </c>
      <c r="I37" s="47">
        <v>1</v>
      </c>
      <c r="J37" s="47"/>
      <c r="K37" s="47"/>
      <c r="L37" s="47"/>
      <c r="M37" s="47"/>
      <c r="N37" s="47"/>
      <c r="O37" s="47"/>
      <c r="P37" s="47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47"/>
    </row>
    <row r="38" spans="1:52" s="107" customFormat="1" x14ac:dyDescent="0.2">
      <c r="A38" s="29" t="s">
        <v>219</v>
      </c>
      <c r="B38" s="14"/>
      <c r="C38" s="142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0"/>
    </row>
    <row r="39" spans="1:52" s="107" customFormat="1" ht="14.25" x14ac:dyDescent="0.2">
      <c r="A39" s="114" t="s">
        <v>411</v>
      </c>
      <c r="B39" s="119"/>
      <c r="C39" s="41">
        <v>8.3999996185302734</v>
      </c>
      <c r="D39" s="44">
        <v>25.200000762939453</v>
      </c>
      <c r="E39" s="44">
        <v>25.200000762939453</v>
      </c>
      <c r="F39" s="44">
        <v>8.3999996185302734</v>
      </c>
      <c r="G39" s="44">
        <v>12.600000381469727</v>
      </c>
      <c r="H39" s="44">
        <v>21</v>
      </c>
      <c r="I39" s="44">
        <v>8.3999996185302734</v>
      </c>
      <c r="J39" s="44"/>
      <c r="K39" s="44"/>
      <c r="L39" s="44"/>
      <c r="M39" s="44"/>
      <c r="N39" s="44"/>
      <c r="O39" s="44"/>
      <c r="P39" s="44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4"/>
    </row>
    <row r="40" spans="1:52" s="107" customFormat="1" x14ac:dyDescent="0.2">
      <c r="A40" s="114" t="s">
        <v>209</v>
      </c>
      <c r="B40" s="119"/>
      <c r="C40" s="41">
        <v>1.2000000476837158</v>
      </c>
      <c r="D40" s="44">
        <v>7.1700000762939453</v>
      </c>
      <c r="E40" s="44">
        <v>8.7700004577636719</v>
      </c>
      <c r="F40" s="44">
        <v>2.5899999141693115</v>
      </c>
      <c r="G40" s="44">
        <v>7.1700000762939453</v>
      </c>
      <c r="H40" s="44">
        <v>10.460000038146973</v>
      </c>
      <c r="I40" s="44">
        <v>13.050000190734863</v>
      </c>
      <c r="J40" s="44"/>
      <c r="K40" s="44"/>
      <c r="L40" s="44"/>
      <c r="M40" s="44"/>
      <c r="N40" s="44"/>
      <c r="O40" s="44"/>
      <c r="P40" s="44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4"/>
    </row>
    <row r="41" spans="1:52" s="107" customFormat="1" x14ac:dyDescent="0.2">
      <c r="A41" s="114" t="s">
        <v>210</v>
      </c>
      <c r="B41" s="119"/>
      <c r="C41" s="41">
        <v>15</v>
      </c>
      <c r="D41" s="44">
        <v>15</v>
      </c>
      <c r="E41" s="44">
        <v>15</v>
      </c>
      <c r="F41" s="44">
        <v>15</v>
      </c>
      <c r="G41" s="44">
        <v>15</v>
      </c>
      <c r="H41" s="44">
        <v>15</v>
      </c>
      <c r="I41" s="44">
        <v>4</v>
      </c>
      <c r="J41" s="44"/>
      <c r="K41" s="44"/>
      <c r="L41" s="44"/>
      <c r="M41" s="44"/>
      <c r="N41" s="44"/>
      <c r="O41" s="44"/>
      <c r="P41" s="44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4"/>
    </row>
    <row r="42" spans="1:52" s="107" customFormat="1" x14ac:dyDescent="0.2">
      <c r="A42" s="115" t="s">
        <v>198</v>
      </c>
      <c r="B42" s="119" t="s">
        <v>183</v>
      </c>
      <c r="C42" s="41">
        <v>1.2000000476837158</v>
      </c>
      <c r="D42" s="44">
        <v>5.75</v>
      </c>
      <c r="E42" s="44">
        <v>6.369999885559082</v>
      </c>
      <c r="F42" s="44">
        <v>2.5899999141693115</v>
      </c>
      <c r="G42" s="44">
        <v>5.75</v>
      </c>
      <c r="H42" s="44">
        <v>6.8899998664855957</v>
      </c>
      <c r="I42" s="44">
        <v>7.4499998092651367</v>
      </c>
      <c r="J42" s="44"/>
      <c r="K42" s="44"/>
      <c r="L42" s="44"/>
      <c r="M42" s="44"/>
      <c r="N42" s="44"/>
      <c r="O42" s="44"/>
      <c r="P42" s="44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4"/>
    </row>
    <row r="43" spans="1:52" s="107" customFormat="1" x14ac:dyDescent="0.2">
      <c r="A43" s="115"/>
      <c r="B43" s="119" t="s">
        <v>184</v>
      </c>
      <c r="C43" s="41">
        <v>0.11999999731779099</v>
      </c>
      <c r="D43" s="44">
        <v>0.11999999731779099</v>
      </c>
      <c r="E43" s="44">
        <v>0.11999999731779099</v>
      </c>
      <c r="F43" s="44">
        <v>0.11999999731779099</v>
      </c>
      <c r="G43" s="44">
        <v>0.11999999731779099</v>
      </c>
      <c r="H43" s="44">
        <v>0.11999999731779099</v>
      </c>
      <c r="I43" s="44">
        <v>0.11999999731779099</v>
      </c>
      <c r="J43" s="44"/>
      <c r="K43" s="44"/>
      <c r="L43" s="44"/>
      <c r="M43" s="44"/>
      <c r="N43" s="44"/>
      <c r="O43" s="44"/>
      <c r="P43" s="44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4"/>
    </row>
    <row r="44" spans="1:52" s="107" customFormat="1" x14ac:dyDescent="0.2">
      <c r="A44" s="114" t="s">
        <v>200</v>
      </c>
      <c r="B44" s="119" t="s">
        <v>183</v>
      </c>
      <c r="C44" s="41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/>
      <c r="K44" s="44"/>
      <c r="L44" s="44"/>
      <c r="M44" s="44"/>
      <c r="N44" s="44"/>
      <c r="O44" s="44"/>
      <c r="P44" s="44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4"/>
    </row>
    <row r="45" spans="1:52" s="107" customFormat="1" x14ac:dyDescent="0.2">
      <c r="A45" s="114"/>
      <c r="B45" s="119" t="s">
        <v>184</v>
      </c>
      <c r="C45" s="43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/>
      <c r="K45" s="45"/>
      <c r="L45" s="45"/>
      <c r="M45" s="45"/>
      <c r="N45" s="45"/>
      <c r="O45" s="45"/>
      <c r="P45" s="45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5"/>
    </row>
    <row r="46" spans="1:52" s="107" customFormat="1" x14ac:dyDescent="0.2">
      <c r="A46" s="20" t="s">
        <v>218</v>
      </c>
      <c r="B46" s="120"/>
      <c r="C46" s="118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60"/>
    </row>
    <row r="47" spans="1:52" s="107" customFormat="1" x14ac:dyDescent="0.2">
      <c r="A47" s="6" t="s">
        <v>199</v>
      </c>
      <c r="B47" s="120" t="s">
        <v>183</v>
      </c>
      <c r="C47" s="97">
        <v>3.4500000476837158</v>
      </c>
      <c r="D47" s="61">
        <v>2.5999999046325684</v>
      </c>
      <c r="E47" s="61">
        <v>2.4300000667572021</v>
      </c>
      <c r="F47" s="61">
        <v>4.4074997901916504</v>
      </c>
      <c r="G47" s="61">
        <v>2.3199999332427979</v>
      </c>
      <c r="H47" s="61">
        <v>1.4492000341415405</v>
      </c>
      <c r="I47" s="61">
        <v>1.9099999666213989</v>
      </c>
      <c r="J47" s="61"/>
      <c r="K47" s="61"/>
      <c r="L47" s="61"/>
      <c r="M47" s="61"/>
      <c r="N47" s="61"/>
      <c r="O47" s="61"/>
      <c r="P47" s="61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61"/>
    </row>
    <row r="48" spans="1:52" s="107" customFormat="1" x14ac:dyDescent="0.2">
      <c r="A48" s="6"/>
      <c r="B48" s="120" t="s">
        <v>184</v>
      </c>
      <c r="C48" s="98">
        <v>0.39169999957084656</v>
      </c>
      <c r="D48" s="62">
        <v>0.40000000596046448</v>
      </c>
      <c r="E48" s="62">
        <v>0.30899998545646667</v>
      </c>
      <c r="F48" s="62">
        <v>0.66180002689361572</v>
      </c>
      <c r="G48" s="62">
        <v>0.25229999423027039</v>
      </c>
      <c r="H48" s="62">
        <v>0.29499998688697815</v>
      </c>
      <c r="I48" s="62">
        <v>0.30489999055862427</v>
      </c>
      <c r="J48" s="62"/>
      <c r="K48" s="62"/>
      <c r="L48" s="62"/>
      <c r="M48" s="62"/>
      <c r="N48" s="62"/>
      <c r="O48" s="62"/>
      <c r="P48" s="62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  <c r="AQ48" s="101"/>
      <c r="AR48" s="101"/>
      <c r="AS48" s="101"/>
      <c r="AT48" s="101"/>
      <c r="AU48" s="101"/>
      <c r="AV48" s="101"/>
      <c r="AW48" s="101"/>
      <c r="AX48" s="101"/>
      <c r="AY48" s="101"/>
      <c r="AZ48" s="62"/>
    </row>
    <row r="49" spans="1:52" s="107" customFormat="1" x14ac:dyDescent="0.2">
      <c r="A49" s="7" t="s">
        <v>220</v>
      </c>
      <c r="B49" s="120" t="s">
        <v>183</v>
      </c>
      <c r="C49" s="98">
        <v>0</v>
      </c>
      <c r="D49" s="62">
        <v>0</v>
      </c>
      <c r="E49" s="62">
        <v>0</v>
      </c>
      <c r="F49" s="62">
        <v>0</v>
      </c>
      <c r="G49" s="62">
        <v>0</v>
      </c>
      <c r="H49" s="62">
        <v>0</v>
      </c>
      <c r="I49" s="62">
        <v>0</v>
      </c>
      <c r="J49" s="62"/>
      <c r="K49" s="62"/>
      <c r="L49" s="62"/>
      <c r="M49" s="62"/>
      <c r="N49" s="62"/>
      <c r="O49" s="62"/>
      <c r="P49" s="62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62"/>
    </row>
    <row r="50" spans="1:52" s="107" customFormat="1" x14ac:dyDescent="0.2">
      <c r="A50" s="7"/>
      <c r="B50" s="120" t="s">
        <v>184</v>
      </c>
      <c r="C50" s="98">
        <v>0</v>
      </c>
      <c r="D50" s="62">
        <v>0</v>
      </c>
      <c r="E50" s="62">
        <v>0</v>
      </c>
      <c r="F50" s="62">
        <v>0</v>
      </c>
      <c r="G50" s="62">
        <v>0</v>
      </c>
      <c r="H50" s="62">
        <v>0</v>
      </c>
      <c r="I50" s="62">
        <v>0</v>
      </c>
      <c r="J50" s="62"/>
      <c r="K50" s="62"/>
      <c r="L50" s="62"/>
      <c r="M50" s="62"/>
      <c r="N50" s="62"/>
      <c r="O50" s="62"/>
      <c r="P50" s="62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62"/>
    </row>
    <row r="51" spans="1:52" s="107" customFormat="1" x14ac:dyDescent="0.2">
      <c r="A51" s="6" t="s">
        <v>201</v>
      </c>
      <c r="B51" s="120" t="s">
        <v>183</v>
      </c>
      <c r="C51" s="98">
        <v>367</v>
      </c>
      <c r="D51" s="62">
        <v>0</v>
      </c>
      <c r="E51" s="62">
        <v>149</v>
      </c>
      <c r="F51" s="62">
        <v>234</v>
      </c>
      <c r="G51" s="62">
        <v>130</v>
      </c>
      <c r="H51" s="62">
        <v>99</v>
      </c>
      <c r="I51" s="62">
        <v>145</v>
      </c>
      <c r="J51" s="62"/>
      <c r="K51" s="62"/>
      <c r="L51" s="62"/>
      <c r="M51" s="62"/>
      <c r="N51" s="62"/>
      <c r="O51" s="62"/>
      <c r="P51" s="62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62"/>
    </row>
    <row r="52" spans="1:52" s="107" customFormat="1" x14ac:dyDescent="0.2">
      <c r="A52" s="6"/>
      <c r="B52" s="120" t="s">
        <v>184</v>
      </c>
      <c r="C52" s="98">
        <v>9.0000003576278687E-2</v>
      </c>
      <c r="D52" s="62">
        <v>0</v>
      </c>
      <c r="E52" s="62">
        <v>0.14000000059604645</v>
      </c>
      <c r="F52" s="62">
        <v>0.10999999940395355</v>
      </c>
      <c r="G52" s="62">
        <v>0.15000000596046448</v>
      </c>
      <c r="H52" s="62">
        <v>0.12999999523162842</v>
      </c>
      <c r="I52" s="62">
        <v>0.18000000715255737</v>
      </c>
      <c r="J52" s="62"/>
      <c r="K52" s="62"/>
      <c r="L52" s="62"/>
      <c r="M52" s="62"/>
      <c r="N52" s="62"/>
      <c r="O52" s="62"/>
      <c r="P52" s="62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  <c r="AQ52" s="101"/>
      <c r="AR52" s="101"/>
      <c r="AS52" s="101"/>
      <c r="AT52" s="101"/>
      <c r="AU52" s="101"/>
      <c r="AV52" s="101"/>
      <c r="AW52" s="101"/>
      <c r="AX52" s="101"/>
      <c r="AY52" s="101"/>
      <c r="AZ52" s="62"/>
    </row>
    <row r="53" spans="1:52" s="107" customFormat="1" x14ac:dyDescent="0.2">
      <c r="A53" s="4" t="s">
        <v>202</v>
      </c>
      <c r="B53" s="120" t="s">
        <v>183</v>
      </c>
      <c r="C53" s="98">
        <v>1575</v>
      </c>
      <c r="D53" s="62">
        <v>0</v>
      </c>
      <c r="E53" s="62">
        <v>1303</v>
      </c>
      <c r="F53" s="62">
        <v>1077</v>
      </c>
      <c r="G53" s="62">
        <v>1099</v>
      </c>
      <c r="H53" s="62">
        <v>1079</v>
      </c>
      <c r="I53" s="62">
        <v>1277</v>
      </c>
      <c r="J53" s="62"/>
      <c r="K53" s="62"/>
      <c r="L53" s="62"/>
      <c r="M53" s="62"/>
      <c r="N53" s="62"/>
      <c r="O53" s="62"/>
      <c r="P53" s="62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62"/>
    </row>
    <row r="54" spans="1:52" s="107" customFormat="1" x14ac:dyDescent="0.2">
      <c r="A54" s="4"/>
      <c r="B54" s="120" t="s">
        <v>184</v>
      </c>
      <c r="C54" s="98">
        <v>0.15000000596046448</v>
      </c>
      <c r="D54" s="62">
        <v>0</v>
      </c>
      <c r="E54" s="62">
        <v>5.9999998658895493E-2</v>
      </c>
      <c r="F54" s="62">
        <v>0.11999999731779099</v>
      </c>
      <c r="G54" s="62">
        <v>9.0000003576278687E-2</v>
      </c>
      <c r="H54" s="62">
        <v>0.10000000149011612</v>
      </c>
      <c r="I54" s="62">
        <v>5.000000074505806E-2</v>
      </c>
      <c r="J54" s="62"/>
      <c r="K54" s="62"/>
      <c r="L54" s="62"/>
      <c r="M54" s="62"/>
      <c r="N54" s="62"/>
      <c r="O54" s="62"/>
      <c r="P54" s="62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62"/>
    </row>
    <row r="55" spans="1:52" s="107" customFormat="1" x14ac:dyDescent="0.2">
      <c r="A55" s="4" t="s">
        <v>203</v>
      </c>
      <c r="B55" s="120" t="s">
        <v>183</v>
      </c>
      <c r="C55" s="98">
        <v>62</v>
      </c>
      <c r="D55" s="62">
        <v>0</v>
      </c>
      <c r="E55" s="62">
        <v>2.7999999523162842</v>
      </c>
      <c r="F55" s="62">
        <v>23.700000762939453</v>
      </c>
      <c r="G55" s="62">
        <v>7.1999998092651367</v>
      </c>
      <c r="H55" s="62">
        <v>8.6999998092651367</v>
      </c>
      <c r="I55" s="62">
        <v>3.5999999046325684</v>
      </c>
      <c r="J55" s="62"/>
      <c r="K55" s="62"/>
      <c r="L55" s="62"/>
      <c r="M55" s="62"/>
      <c r="N55" s="62"/>
      <c r="O55" s="62"/>
      <c r="P55" s="62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  <c r="AM55" s="101"/>
      <c r="AN55" s="101"/>
      <c r="AO55" s="101"/>
      <c r="AP55" s="101"/>
      <c r="AQ55" s="101"/>
      <c r="AR55" s="101"/>
      <c r="AS55" s="101"/>
      <c r="AT55" s="101"/>
      <c r="AU55" s="101"/>
      <c r="AV55" s="101"/>
      <c r="AW55" s="101"/>
      <c r="AX55" s="101"/>
      <c r="AY55" s="101"/>
      <c r="AZ55" s="62"/>
    </row>
    <row r="56" spans="1:52" s="107" customFormat="1" x14ac:dyDescent="0.2">
      <c r="A56" s="4"/>
      <c r="B56" s="120" t="s">
        <v>184</v>
      </c>
      <c r="C56" s="98">
        <v>0.62000000476837158</v>
      </c>
      <c r="D56" s="62">
        <v>0</v>
      </c>
      <c r="E56" s="62">
        <v>0.47999998927116394</v>
      </c>
      <c r="F56" s="62">
        <v>0.52999997138977051</v>
      </c>
      <c r="G56" s="62">
        <v>0.61000001430511475</v>
      </c>
      <c r="H56" s="62">
        <v>0.43999999761581421</v>
      </c>
      <c r="I56" s="62">
        <v>0.56999999284744263</v>
      </c>
      <c r="J56" s="62"/>
      <c r="K56" s="62"/>
      <c r="L56" s="62"/>
      <c r="M56" s="62"/>
      <c r="N56" s="62"/>
      <c r="O56" s="62"/>
      <c r="P56" s="62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62"/>
    </row>
    <row r="57" spans="1:52" s="107" customFormat="1" x14ac:dyDescent="0.2">
      <c r="A57" s="4" t="s">
        <v>204</v>
      </c>
      <c r="B57" s="120" t="s">
        <v>183</v>
      </c>
      <c r="C57" s="98">
        <v>0.20000000298023224</v>
      </c>
      <c r="D57" s="62">
        <v>0</v>
      </c>
      <c r="E57" s="62">
        <v>0.40000000596046448</v>
      </c>
      <c r="F57" s="62">
        <v>0.20000000298023224</v>
      </c>
      <c r="G57" s="62">
        <v>0.40000000596046448</v>
      </c>
      <c r="H57" s="62">
        <v>0.60000002384185791</v>
      </c>
      <c r="I57" s="62">
        <v>0.5</v>
      </c>
      <c r="J57" s="62"/>
      <c r="K57" s="62"/>
      <c r="L57" s="62"/>
      <c r="M57" s="62"/>
      <c r="N57" s="62"/>
      <c r="O57" s="62"/>
      <c r="P57" s="62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01"/>
      <c r="AP57" s="101"/>
      <c r="AQ57" s="101"/>
      <c r="AR57" s="101"/>
      <c r="AS57" s="101"/>
      <c r="AT57" s="101"/>
      <c r="AU57" s="101"/>
      <c r="AV57" s="101"/>
      <c r="AW57" s="101"/>
      <c r="AX57" s="101"/>
      <c r="AY57" s="101"/>
      <c r="AZ57" s="62"/>
    </row>
    <row r="58" spans="1:52" s="107" customFormat="1" x14ac:dyDescent="0.2">
      <c r="A58" s="4"/>
      <c r="B58" s="120" t="s">
        <v>184</v>
      </c>
      <c r="C58" s="98">
        <v>0.18999999761581421</v>
      </c>
      <c r="D58" s="62">
        <v>0</v>
      </c>
      <c r="E58" s="62">
        <v>0.30000001192092896</v>
      </c>
      <c r="F58" s="62">
        <v>0.57999998331069946</v>
      </c>
      <c r="G58" s="62">
        <v>0.23000000417232513</v>
      </c>
      <c r="H58" s="62">
        <v>0.25</v>
      </c>
      <c r="I58" s="62">
        <v>0.28999999165534973</v>
      </c>
      <c r="J58" s="62"/>
      <c r="K58" s="62"/>
      <c r="L58" s="62"/>
      <c r="M58" s="62"/>
      <c r="N58" s="62"/>
      <c r="O58" s="62"/>
      <c r="P58" s="62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01"/>
      <c r="AP58" s="101"/>
      <c r="AQ58" s="101"/>
      <c r="AR58" s="101"/>
      <c r="AS58" s="101"/>
      <c r="AT58" s="101"/>
      <c r="AU58" s="101"/>
      <c r="AV58" s="101"/>
      <c r="AW58" s="101"/>
      <c r="AX58" s="101"/>
      <c r="AY58" s="101"/>
      <c r="AZ58" s="62"/>
    </row>
    <row r="59" spans="1:52" s="107" customFormat="1" x14ac:dyDescent="0.2">
      <c r="A59" s="6" t="s">
        <v>213</v>
      </c>
      <c r="B59" s="120" t="s">
        <v>183</v>
      </c>
      <c r="C59" s="98">
        <v>856</v>
      </c>
      <c r="D59" s="62">
        <v>0</v>
      </c>
      <c r="E59" s="62">
        <v>523</v>
      </c>
      <c r="F59" s="62">
        <v>700</v>
      </c>
      <c r="G59" s="62">
        <v>573</v>
      </c>
      <c r="H59" s="62">
        <v>508</v>
      </c>
      <c r="I59" s="62">
        <v>453</v>
      </c>
      <c r="J59" s="62"/>
      <c r="K59" s="62"/>
      <c r="L59" s="62"/>
      <c r="M59" s="62"/>
      <c r="N59" s="62"/>
      <c r="O59" s="62"/>
      <c r="P59" s="62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62"/>
    </row>
    <row r="60" spans="1:52" s="107" customFormat="1" x14ac:dyDescent="0.2">
      <c r="A60" s="4"/>
      <c r="B60" s="120" t="s">
        <v>184</v>
      </c>
      <c r="C60" s="98">
        <v>0.14000000059604645</v>
      </c>
      <c r="D60" s="62">
        <v>0</v>
      </c>
      <c r="E60" s="62">
        <v>9.0000003576278687E-2</v>
      </c>
      <c r="F60" s="62">
        <v>5.9999998658895493E-2</v>
      </c>
      <c r="G60" s="62">
        <v>5.000000074505806E-2</v>
      </c>
      <c r="H60" s="62">
        <v>7.0000000298023224E-2</v>
      </c>
      <c r="I60" s="62">
        <v>1.9999999552965164E-2</v>
      </c>
      <c r="J60" s="62"/>
      <c r="K60" s="62"/>
      <c r="L60" s="62"/>
      <c r="M60" s="62"/>
      <c r="N60" s="62"/>
      <c r="O60" s="62"/>
      <c r="P60" s="62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62"/>
    </row>
    <row r="61" spans="1:52" s="107" customFormat="1" x14ac:dyDescent="0.2">
      <c r="A61" s="6" t="s">
        <v>212</v>
      </c>
      <c r="B61" s="120" t="s">
        <v>183</v>
      </c>
      <c r="C61" s="98">
        <v>250</v>
      </c>
      <c r="D61" s="62">
        <v>0</v>
      </c>
      <c r="E61" s="62">
        <v>48</v>
      </c>
      <c r="F61" s="62">
        <v>148</v>
      </c>
      <c r="G61" s="62">
        <v>51</v>
      </c>
      <c r="H61" s="62">
        <v>37</v>
      </c>
      <c r="I61" s="62">
        <v>34</v>
      </c>
      <c r="J61" s="62"/>
      <c r="K61" s="62"/>
      <c r="L61" s="62"/>
      <c r="M61" s="62"/>
      <c r="N61" s="62"/>
      <c r="O61" s="62"/>
      <c r="P61" s="62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62"/>
    </row>
    <row r="62" spans="1:52" s="107" customFormat="1" x14ac:dyDescent="0.2">
      <c r="A62" s="7"/>
      <c r="B62" s="120" t="s">
        <v>184</v>
      </c>
      <c r="C62" s="98">
        <v>0.15999999642372131</v>
      </c>
      <c r="D62" s="62">
        <v>0</v>
      </c>
      <c r="E62" s="62">
        <v>0.2199999988079071</v>
      </c>
      <c r="F62" s="62">
        <v>0.23999999463558197</v>
      </c>
      <c r="G62" s="62">
        <v>0.15999999642372131</v>
      </c>
      <c r="H62" s="62">
        <v>0.15000000596046448</v>
      </c>
      <c r="I62" s="62">
        <v>0.5</v>
      </c>
      <c r="J62" s="62"/>
      <c r="K62" s="62"/>
      <c r="L62" s="62"/>
      <c r="M62" s="62"/>
      <c r="N62" s="62"/>
      <c r="O62" s="62"/>
      <c r="P62" s="62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62"/>
    </row>
    <row r="63" spans="1:52" s="107" customFormat="1" x14ac:dyDescent="0.2">
      <c r="A63" s="6" t="s">
        <v>206</v>
      </c>
      <c r="B63" s="120" t="s">
        <v>183</v>
      </c>
      <c r="C63" s="98">
        <v>0</v>
      </c>
      <c r="D63" s="62">
        <v>0</v>
      </c>
      <c r="E63" s="62">
        <v>0</v>
      </c>
      <c r="F63" s="62">
        <v>0</v>
      </c>
      <c r="G63" s="62">
        <v>0</v>
      </c>
      <c r="H63" s="62">
        <v>0</v>
      </c>
      <c r="I63" s="62">
        <v>0</v>
      </c>
      <c r="J63" s="62"/>
      <c r="K63" s="62"/>
      <c r="L63" s="62"/>
      <c r="M63" s="62"/>
      <c r="N63" s="62"/>
      <c r="O63" s="62"/>
      <c r="P63" s="62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62"/>
    </row>
    <row r="64" spans="1:52" s="107" customFormat="1" x14ac:dyDescent="0.2">
      <c r="A64" s="7"/>
      <c r="B64" s="120" t="s">
        <v>184</v>
      </c>
      <c r="C64" s="98">
        <v>0</v>
      </c>
      <c r="D64" s="62">
        <v>0</v>
      </c>
      <c r="E64" s="62">
        <v>0</v>
      </c>
      <c r="F64" s="62">
        <v>0</v>
      </c>
      <c r="G64" s="62">
        <v>0</v>
      </c>
      <c r="H64" s="62">
        <v>0</v>
      </c>
      <c r="I64" s="62">
        <v>0</v>
      </c>
      <c r="J64" s="62"/>
      <c r="K64" s="62"/>
      <c r="L64" s="62"/>
      <c r="M64" s="62"/>
      <c r="N64" s="62"/>
      <c r="O64" s="62"/>
      <c r="P64" s="62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62"/>
    </row>
    <row r="65" spans="1:52" s="107" customFormat="1" x14ac:dyDescent="0.2">
      <c r="A65" s="7" t="s">
        <v>205</v>
      </c>
      <c r="B65" s="120" t="s">
        <v>183</v>
      </c>
      <c r="C65" s="98">
        <v>0</v>
      </c>
      <c r="D65" s="62">
        <v>0</v>
      </c>
      <c r="E65" s="62">
        <v>0</v>
      </c>
      <c r="F65" s="62">
        <v>0</v>
      </c>
      <c r="G65" s="62">
        <v>0</v>
      </c>
      <c r="H65" s="62">
        <v>0</v>
      </c>
      <c r="I65" s="62">
        <v>0</v>
      </c>
      <c r="J65" s="62"/>
      <c r="K65" s="62"/>
      <c r="L65" s="62"/>
      <c r="M65" s="62"/>
      <c r="N65" s="62"/>
      <c r="O65" s="62"/>
      <c r="P65" s="62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62"/>
    </row>
    <row r="66" spans="1:52" s="107" customFormat="1" x14ac:dyDescent="0.2">
      <c r="A66" s="7"/>
      <c r="B66" s="120" t="s">
        <v>184</v>
      </c>
      <c r="C66" s="98">
        <v>0</v>
      </c>
      <c r="D66" s="62">
        <v>0</v>
      </c>
      <c r="E66" s="62">
        <v>0</v>
      </c>
      <c r="F66" s="62">
        <v>0</v>
      </c>
      <c r="G66" s="62">
        <v>0</v>
      </c>
      <c r="H66" s="62">
        <v>0</v>
      </c>
      <c r="I66" s="62">
        <v>0</v>
      </c>
      <c r="J66" s="62"/>
      <c r="K66" s="62"/>
      <c r="L66" s="62"/>
      <c r="M66" s="62"/>
      <c r="N66" s="62"/>
      <c r="O66" s="62"/>
      <c r="P66" s="62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62"/>
    </row>
    <row r="67" spans="1:52" s="107" customFormat="1" x14ac:dyDescent="0.2">
      <c r="A67" s="21" t="s">
        <v>211</v>
      </c>
      <c r="B67" s="14"/>
      <c r="C67" s="139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  <c r="AP67" s="138"/>
      <c r="AQ67" s="138"/>
      <c r="AR67" s="138"/>
      <c r="AS67" s="138"/>
      <c r="AT67" s="138"/>
      <c r="AU67" s="138"/>
      <c r="AV67" s="138"/>
      <c r="AW67" s="138"/>
      <c r="AX67" s="138"/>
      <c r="AY67" s="138"/>
      <c r="AZ67" s="143"/>
    </row>
    <row r="68" spans="1:52" s="107" customFormat="1" x14ac:dyDescent="0.2">
      <c r="A68" s="4" t="s">
        <v>215</v>
      </c>
      <c r="B68" s="120" t="s">
        <v>183</v>
      </c>
      <c r="C68" s="50">
        <v>1</v>
      </c>
      <c r="D68" s="49">
        <v>1</v>
      </c>
      <c r="E68" s="49">
        <v>1</v>
      </c>
      <c r="F68" s="49">
        <v>1</v>
      </c>
      <c r="G68" s="49">
        <v>1</v>
      </c>
      <c r="H68" s="49">
        <v>1</v>
      </c>
      <c r="I68" s="49">
        <v>1</v>
      </c>
      <c r="J68" s="49"/>
      <c r="K68" s="49"/>
      <c r="L68" s="49"/>
      <c r="M68" s="49"/>
      <c r="N68" s="49"/>
      <c r="O68" s="49"/>
      <c r="P68" s="49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  <c r="AW68" s="112"/>
      <c r="AX68" s="112"/>
      <c r="AY68" s="112"/>
      <c r="AZ68" s="49"/>
    </row>
    <row r="69" spans="1:52" s="107" customFormat="1" x14ac:dyDescent="0.2">
      <c r="A69" s="4"/>
      <c r="B69" s="120" t="s">
        <v>184</v>
      </c>
      <c r="C69" s="50">
        <v>0</v>
      </c>
      <c r="D69" s="49">
        <v>0</v>
      </c>
      <c r="E69" s="49">
        <v>0</v>
      </c>
      <c r="F69" s="49">
        <v>0</v>
      </c>
      <c r="G69" s="49">
        <v>0</v>
      </c>
      <c r="H69" s="49">
        <v>0</v>
      </c>
      <c r="I69" s="49">
        <v>0</v>
      </c>
      <c r="J69" s="49"/>
      <c r="K69" s="49"/>
      <c r="L69" s="49"/>
      <c r="M69" s="49"/>
      <c r="N69" s="49"/>
      <c r="O69" s="49"/>
      <c r="P69" s="49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  <c r="AW69" s="112"/>
      <c r="AX69" s="112"/>
      <c r="AY69" s="112"/>
      <c r="AZ69" s="49"/>
    </row>
    <row r="70" spans="1:52" s="107" customFormat="1" x14ac:dyDescent="0.2">
      <c r="A70" s="7" t="s">
        <v>178</v>
      </c>
      <c r="B70" s="120" t="s">
        <v>183</v>
      </c>
      <c r="C70" s="50">
        <v>1</v>
      </c>
      <c r="D70" s="49">
        <v>1</v>
      </c>
      <c r="E70" s="49">
        <v>1</v>
      </c>
      <c r="F70" s="49">
        <v>1</v>
      </c>
      <c r="G70" s="49">
        <v>1</v>
      </c>
      <c r="H70" s="49">
        <v>1</v>
      </c>
      <c r="I70" s="49">
        <v>1</v>
      </c>
      <c r="J70" s="49"/>
      <c r="K70" s="49"/>
      <c r="L70" s="49"/>
      <c r="M70" s="49"/>
      <c r="N70" s="49"/>
      <c r="O70" s="49"/>
      <c r="P70" s="49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  <c r="AW70" s="112"/>
      <c r="AX70" s="112"/>
      <c r="AY70" s="112"/>
      <c r="AZ70" s="49"/>
    </row>
    <row r="71" spans="1:52" s="107" customFormat="1" x14ac:dyDescent="0.2">
      <c r="A71" s="7"/>
      <c r="B71" s="120" t="s">
        <v>184</v>
      </c>
      <c r="C71" s="50">
        <v>0</v>
      </c>
      <c r="D71" s="49">
        <v>0</v>
      </c>
      <c r="E71" s="49">
        <v>0</v>
      </c>
      <c r="F71" s="49">
        <v>0</v>
      </c>
      <c r="G71" s="49">
        <v>0</v>
      </c>
      <c r="H71" s="49">
        <v>0</v>
      </c>
      <c r="I71" s="49">
        <v>0</v>
      </c>
      <c r="J71" s="49"/>
      <c r="K71" s="49"/>
      <c r="L71" s="49"/>
      <c r="M71" s="49"/>
      <c r="N71" s="49"/>
      <c r="O71" s="49"/>
      <c r="P71" s="49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  <c r="AW71" s="112"/>
      <c r="AX71" s="112"/>
      <c r="AY71" s="112"/>
      <c r="AZ71" s="49"/>
    </row>
    <row r="72" spans="1:52" s="107" customFormat="1" x14ac:dyDescent="0.2">
      <c r="A72" s="7" t="s">
        <v>180</v>
      </c>
      <c r="B72" s="120" t="s">
        <v>183</v>
      </c>
      <c r="C72" s="50">
        <v>1</v>
      </c>
      <c r="D72" s="49">
        <v>1</v>
      </c>
      <c r="E72" s="49">
        <v>1</v>
      </c>
      <c r="F72" s="49">
        <v>1</v>
      </c>
      <c r="G72" s="49">
        <v>1</v>
      </c>
      <c r="H72" s="49">
        <v>1</v>
      </c>
      <c r="I72" s="49">
        <v>1</v>
      </c>
      <c r="J72" s="49"/>
      <c r="K72" s="49"/>
      <c r="L72" s="49"/>
      <c r="M72" s="49"/>
      <c r="N72" s="49"/>
      <c r="O72" s="49"/>
      <c r="P72" s="49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49"/>
    </row>
    <row r="73" spans="1:52" s="107" customFormat="1" x14ac:dyDescent="0.2">
      <c r="A73" s="7"/>
      <c r="B73" s="120" t="s">
        <v>184</v>
      </c>
      <c r="C73" s="50">
        <v>0</v>
      </c>
      <c r="D73" s="49">
        <v>0</v>
      </c>
      <c r="E73" s="49">
        <v>0</v>
      </c>
      <c r="F73" s="49">
        <v>0</v>
      </c>
      <c r="G73" s="49">
        <v>0</v>
      </c>
      <c r="H73" s="49">
        <v>0</v>
      </c>
      <c r="I73" s="49">
        <v>0</v>
      </c>
      <c r="J73" s="49"/>
      <c r="K73" s="49"/>
      <c r="L73" s="49"/>
      <c r="M73" s="49"/>
      <c r="N73" s="49"/>
      <c r="O73" s="49"/>
      <c r="P73" s="49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2"/>
      <c r="AX73" s="112"/>
      <c r="AY73" s="112"/>
      <c r="AZ73" s="49"/>
    </row>
    <row r="74" spans="1:52" s="107" customFormat="1" x14ac:dyDescent="0.2">
      <c r="A74" s="7" t="s">
        <v>216</v>
      </c>
      <c r="B74" s="120" t="s">
        <v>183</v>
      </c>
      <c r="C74" s="50">
        <v>1</v>
      </c>
      <c r="D74" s="49">
        <v>1</v>
      </c>
      <c r="E74" s="49">
        <v>1</v>
      </c>
      <c r="F74" s="49">
        <v>1</v>
      </c>
      <c r="G74" s="49">
        <v>1</v>
      </c>
      <c r="H74" s="49">
        <v>1</v>
      </c>
      <c r="I74" s="49">
        <v>1</v>
      </c>
      <c r="J74" s="49"/>
      <c r="K74" s="49"/>
      <c r="L74" s="49"/>
      <c r="M74" s="49"/>
      <c r="N74" s="49"/>
      <c r="O74" s="49"/>
      <c r="P74" s="49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  <c r="AW74" s="112"/>
      <c r="AX74" s="112"/>
      <c r="AY74" s="112"/>
      <c r="AZ74" s="49"/>
    </row>
    <row r="75" spans="1:52" s="107" customFormat="1" x14ac:dyDescent="0.2">
      <c r="A75" s="7"/>
      <c r="B75" s="120" t="s">
        <v>184</v>
      </c>
      <c r="C75" s="50">
        <v>0</v>
      </c>
      <c r="D75" s="49">
        <v>0</v>
      </c>
      <c r="E75" s="49">
        <v>0</v>
      </c>
      <c r="F75" s="49">
        <v>0</v>
      </c>
      <c r="G75" s="49">
        <v>0</v>
      </c>
      <c r="H75" s="49">
        <v>0</v>
      </c>
      <c r="I75" s="49">
        <v>0</v>
      </c>
      <c r="J75" s="49"/>
      <c r="K75" s="49"/>
      <c r="L75" s="49"/>
      <c r="M75" s="49"/>
      <c r="N75" s="49"/>
      <c r="O75" s="49"/>
      <c r="P75" s="49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  <c r="AW75" s="112"/>
      <c r="AX75" s="112"/>
      <c r="AY75" s="112"/>
      <c r="AZ75" s="49"/>
    </row>
    <row r="76" spans="1:52" s="107" customFormat="1" x14ac:dyDescent="0.2">
      <c r="A76" s="7" t="s">
        <v>217</v>
      </c>
      <c r="B76" s="120" t="s">
        <v>183</v>
      </c>
      <c r="C76" s="50">
        <v>1</v>
      </c>
      <c r="D76" s="49">
        <v>1</v>
      </c>
      <c r="E76" s="49">
        <v>1</v>
      </c>
      <c r="F76" s="49">
        <v>1</v>
      </c>
      <c r="G76" s="49">
        <v>1</v>
      </c>
      <c r="H76" s="49">
        <v>1</v>
      </c>
      <c r="I76" s="49">
        <v>1</v>
      </c>
      <c r="J76" s="49"/>
      <c r="K76" s="49"/>
      <c r="L76" s="49"/>
      <c r="M76" s="49"/>
      <c r="N76" s="49"/>
      <c r="O76" s="49"/>
      <c r="P76" s="49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  <c r="AX76" s="112"/>
      <c r="AY76" s="112"/>
      <c r="AZ76" s="49"/>
    </row>
    <row r="77" spans="1:52" s="107" customFormat="1" x14ac:dyDescent="0.2">
      <c r="A77" s="7"/>
      <c r="B77" s="120" t="s">
        <v>184</v>
      </c>
      <c r="C77" s="50">
        <v>0</v>
      </c>
      <c r="D77" s="49">
        <v>0</v>
      </c>
      <c r="E77" s="49">
        <v>0</v>
      </c>
      <c r="F77" s="49">
        <v>0</v>
      </c>
      <c r="G77" s="49">
        <v>0</v>
      </c>
      <c r="H77" s="49">
        <v>0</v>
      </c>
      <c r="I77" s="49">
        <v>0</v>
      </c>
      <c r="J77" s="49"/>
      <c r="K77" s="49"/>
      <c r="L77" s="49"/>
      <c r="M77" s="49"/>
      <c r="N77" s="49"/>
      <c r="O77" s="49"/>
      <c r="P77" s="49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49"/>
    </row>
    <row r="78" spans="1:52" s="107" customFormat="1" x14ac:dyDescent="0.2">
      <c r="A78" s="6" t="s">
        <v>213</v>
      </c>
      <c r="B78" s="120" t="s">
        <v>183</v>
      </c>
      <c r="C78" s="50">
        <v>1</v>
      </c>
      <c r="D78" s="49">
        <v>1</v>
      </c>
      <c r="E78" s="49">
        <v>1</v>
      </c>
      <c r="F78" s="49">
        <v>1</v>
      </c>
      <c r="G78" s="49">
        <v>1</v>
      </c>
      <c r="H78" s="49">
        <v>1</v>
      </c>
      <c r="I78" s="49">
        <v>1</v>
      </c>
      <c r="J78" s="49"/>
      <c r="K78" s="49"/>
      <c r="L78" s="49"/>
      <c r="M78" s="49"/>
      <c r="N78" s="49"/>
      <c r="O78" s="49"/>
      <c r="P78" s="49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2"/>
      <c r="AX78" s="112"/>
      <c r="AY78" s="112"/>
      <c r="AZ78" s="49"/>
    </row>
    <row r="79" spans="1:52" s="107" customFormat="1" x14ac:dyDescent="0.2">
      <c r="A79" s="4"/>
      <c r="B79" s="120" t="s">
        <v>184</v>
      </c>
      <c r="C79" s="50">
        <v>0</v>
      </c>
      <c r="D79" s="49">
        <v>0</v>
      </c>
      <c r="E79" s="49">
        <v>0</v>
      </c>
      <c r="F79" s="49">
        <v>0</v>
      </c>
      <c r="G79" s="49">
        <v>0</v>
      </c>
      <c r="H79" s="49">
        <v>0</v>
      </c>
      <c r="I79" s="49">
        <v>0</v>
      </c>
      <c r="J79" s="49"/>
      <c r="K79" s="49"/>
      <c r="L79" s="49"/>
      <c r="M79" s="49"/>
      <c r="N79" s="49"/>
      <c r="O79" s="49"/>
      <c r="P79" s="49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  <c r="AW79" s="112"/>
      <c r="AX79" s="112"/>
      <c r="AY79" s="112"/>
      <c r="AZ79" s="49"/>
    </row>
    <row r="80" spans="1:52" s="107" customFormat="1" x14ac:dyDescent="0.2">
      <c r="A80" s="6" t="s">
        <v>212</v>
      </c>
      <c r="B80" s="120" t="s">
        <v>183</v>
      </c>
      <c r="C80" s="50">
        <v>1</v>
      </c>
      <c r="D80" s="49">
        <v>1</v>
      </c>
      <c r="E80" s="49">
        <v>1</v>
      </c>
      <c r="F80" s="49">
        <v>1</v>
      </c>
      <c r="G80" s="49">
        <v>1</v>
      </c>
      <c r="H80" s="49">
        <v>1</v>
      </c>
      <c r="I80" s="49">
        <v>1</v>
      </c>
      <c r="J80" s="49"/>
      <c r="K80" s="49"/>
      <c r="L80" s="49"/>
      <c r="M80" s="49"/>
      <c r="N80" s="49"/>
      <c r="O80" s="49"/>
      <c r="P80" s="49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  <c r="AW80" s="112"/>
      <c r="AX80" s="112"/>
      <c r="AY80" s="112"/>
      <c r="AZ80" s="49"/>
    </row>
    <row r="81" spans="1:102" s="107" customFormat="1" x14ac:dyDescent="0.2">
      <c r="A81" s="7"/>
      <c r="B81" s="120" t="s">
        <v>184</v>
      </c>
      <c r="C81" s="50">
        <v>0</v>
      </c>
      <c r="D81" s="49">
        <v>0</v>
      </c>
      <c r="E81" s="49">
        <v>0</v>
      </c>
      <c r="F81" s="49">
        <v>0</v>
      </c>
      <c r="G81" s="49">
        <v>0</v>
      </c>
      <c r="H81" s="49">
        <v>0</v>
      </c>
      <c r="I81" s="49">
        <v>0</v>
      </c>
      <c r="J81" s="49"/>
      <c r="K81" s="49"/>
      <c r="L81" s="49"/>
      <c r="M81" s="49"/>
      <c r="N81" s="49"/>
      <c r="O81" s="49"/>
      <c r="P81" s="49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2"/>
      <c r="AX81" s="112"/>
      <c r="AY81" s="112"/>
      <c r="AZ81" s="49"/>
    </row>
    <row r="82" spans="1:102" s="107" customFormat="1" x14ac:dyDescent="0.2">
      <c r="A82" s="6" t="s">
        <v>206</v>
      </c>
      <c r="B82" s="120" t="s">
        <v>183</v>
      </c>
      <c r="C82" s="50">
        <v>1</v>
      </c>
      <c r="D82" s="49">
        <v>1</v>
      </c>
      <c r="E82" s="49">
        <v>1</v>
      </c>
      <c r="F82" s="49">
        <v>1</v>
      </c>
      <c r="G82" s="49">
        <v>1</v>
      </c>
      <c r="H82" s="49">
        <v>1</v>
      </c>
      <c r="I82" s="49">
        <v>1</v>
      </c>
      <c r="J82" s="49"/>
      <c r="K82" s="49"/>
      <c r="L82" s="49"/>
      <c r="M82" s="49"/>
      <c r="N82" s="49"/>
      <c r="O82" s="49"/>
      <c r="P82" s="49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2"/>
      <c r="AX82" s="112"/>
      <c r="AY82" s="112"/>
      <c r="AZ82" s="49"/>
    </row>
    <row r="83" spans="1:102" s="107" customFormat="1" x14ac:dyDescent="0.2">
      <c r="A83" s="7"/>
      <c r="B83" s="120" t="s">
        <v>184</v>
      </c>
      <c r="C83" s="50">
        <v>0</v>
      </c>
      <c r="D83" s="49">
        <v>0</v>
      </c>
      <c r="E83" s="49">
        <v>0</v>
      </c>
      <c r="F83" s="49">
        <v>0</v>
      </c>
      <c r="G83" s="49">
        <v>0</v>
      </c>
      <c r="H83" s="49">
        <v>0</v>
      </c>
      <c r="I83" s="49">
        <v>0</v>
      </c>
      <c r="J83" s="49"/>
      <c r="K83" s="49"/>
      <c r="L83" s="49"/>
      <c r="M83" s="49"/>
      <c r="N83" s="49"/>
      <c r="O83" s="49"/>
      <c r="P83" s="49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  <c r="AW83" s="112"/>
      <c r="AX83" s="112"/>
      <c r="AY83" s="112"/>
      <c r="AZ83" s="49"/>
    </row>
    <row r="84" spans="1:102" s="107" customFormat="1" x14ac:dyDescent="0.2">
      <c r="A84" s="7" t="s">
        <v>205</v>
      </c>
      <c r="B84" s="120" t="s">
        <v>183</v>
      </c>
      <c r="C84" s="50">
        <v>1</v>
      </c>
      <c r="D84" s="49">
        <v>1</v>
      </c>
      <c r="E84" s="49">
        <v>1</v>
      </c>
      <c r="F84" s="49">
        <v>1</v>
      </c>
      <c r="G84" s="49">
        <v>1</v>
      </c>
      <c r="H84" s="49">
        <v>1</v>
      </c>
      <c r="I84" s="49">
        <v>1</v>
      </c>
      <c r="J84" s="49"/>
      <c r="K84" s="49"/>
      <c r="L84" s="49"/>
      <c r="M84" s="49"/>
      <c r="N84" s="49"/>
      <c r="O84" s="49"/>
      <c r="P84" s="49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  <c r="AW84" s="112"/>
      <c r="AX84" s="112"/>
      <c r="AY84" s="112"/>
      <c r="AZ84" s="49"/>
    </row>
    <row r="85" spans="1:102" s="107" customFormat="1" x14ac:dyDescent="0.2">
      <c r="A85" s="7"/>
      <c r="B85" s="120" t="s">
        <v>184</v>
      </c>
      <c r="C85" s="50">
        <v>0</v>
      </c>
      <c r="D85" s="49">
        <v>0</v>
      </c>
      <c r="E85" s="49">
        <v>0</v>
      </c>
      <c r="F85" s="49">
        <v>0</v>
      </c>
      <c r="G85" s="49">
        <v>0</v>
      </c>
      <c r="H85" s="49">
        <v>0</v>
      </c>
      <c r="I85" s="49">
        <v>0</v>
      </c>
      <c r="J85" s="49"/>
      <c r="K85" s="49"/>
      <c r="L85" s="49"/>
      <c r="M85" s="49"/>
      <c r="N85" s="49"/>
      <c r="O85" s="49"/>
      <c r="P85" s="49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2"/>
      <c r="AX85" s="112"/>
      <c r="AY85" s="112"/>
      <c r="AZ85" s="49"/>
    </row>
    <row r="86" spans="1:102" s="107" customFormat="1" x14ac:dyDescent="0.2">
      <c r="A86" s="7"/>
      <c r="B86" s="120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102"/>
      <c r="AW86" s="102"/>
      <c r="AX86" s="102"/>
      <c r="AY86" s="102"/>
      <c r="AZ86" s="121"/>
    </row>
    <row r="87" spans="1:102" s="107" customFormat="1" x14ac:dyDescent="0.2">
      <c r="A87" s="21" t="s">
        <v>268</v>
      </c>
      <c r="B87" s="120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3"/>
      <c r="AM87" s="103"/>
      <c r="AN87" s="103"/>
      <c r="AO87" s="103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22"/>
    </row>
    <row r="88" spans="1:102" s="107" customFormat="1" x14ac:dyDescent="0.2">
      <c r="A88" s="11" t="s">
        <v>269</v>
      </c>
      <c r="B88" s="120" t="s">
        <v>183</v>
      </c>
      <c r="C88" s="55">
        <v>0</v>
      </c>
      <c r="D88" s="46">
        <v>0</v>
      </c>
      <c r="E88" s="46">
        <v>0</v>
      </c>
      <c r="F88" s="46">
        <v>0</v>
      </c>
      <c r="G88" s="46">
        <v>0</v>
      </c>
      <c r="H88" s="46">
        <v>0</v>
      </c>
      <c r="I88" s="46">
        <v>0</v>
      </c>
      <c r="J88" s="46"/>
      <c r="K88" s="46"/>
      <c r="L88" s="46"/>
      <c r="M88" s="46"/>
      <c r="N88" s="46"/>
      <c r="O88" s="46"/>
      <c r="P88" s="46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46"/>
    </row>
    <row r="89" spans="1:102" s="107" customFormat="1" x14ac:dyDescent="0.2">
      <c r="A89" s="11"/>
      <c r="B89" s="120" t="s">
        <v>184</v>
      </c>
      <c r="C89" s="48">
        <v>0</v>
      </c>
      <c r="D89" s="47">
        <v>0</v>
      </c>
      <c r="E89" s="47">
        <v>0</v>
      </c>
      <c r="F89" s="47">
        <v>0</v>
      </c>
      <c r="G89" s="47">
        <v>0</v>
      </c>
      <c r="H89" s="47">
        <v>0</v>
      </c>
      <c r="I89" s="47">
        <v>0</v>
      </c>
      <c r="J89" s="47"/>
      <c r="K89" s="47"/>
      <c r="L89" s="47"/>
      <c r="M89" s="47"/>
      <c r="N89" s="47"/>
      <c r="O89" s="47"/>
      <c r="P89" s="47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09"/>
      <c r="AK89" s="109"/>
      <c r="AL89" s="109"/>
      <c r="AM89" s="109"/>
      <c r="AN89" s="109"/>
      <c r="AO89" s="109"/>
      <c r="AP89" s="109"/>
      <c r="AQ89" s="109"/>
      <c r="AR89" s="109"/>
      <c r="AS89" s="109"/>
      <c r="AT89" s="109"/>
      <c r="AU89" s="109"/>
      <c r="AV89" s="109"/>
      <c r="AW89" s="109"/>
      <c r="AX89" s="109"/>
      <c r="AY89" s="109"/>
      <c r="AZ89" s="47"/>
    </row>
    <row r="90" spans="1:102" s="107" customFormat="1" x14ac:dyDescent="0.2">
      <c r="A90" s="11" t="s">
        <v>178</v>
      </c>
      <c r="B90" s="120" t="s">
        <v>183</v>
      </c>
      <c r="C90" s="48">
        <v>0</v>
      </c>
      <c r="D90" s="47">
        <v>0</v>
      </c>
      <c r="E90" s="47">
        <v>0</v>
      </c>
      <c r="F90" s="47">
        <v>0</v>
      </c>
      <c r="G90" s="47">
        <v>0</v>
      </c>
      <c r="H90" s="47">
        <v>0</v>
      </c>
      <c r="I90" s="47">
        <v>0</v>
      </c>
      <c r="J90" s="47"/>
      <c r="K90" s="47"/>
      <c r="L90" s="47"/>
      <c r="M90" s="47"/>
      <c r="N90" s="47"/>
      <c r="O90" s="47"/>
      <c r="P90" s="47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  <c r="AK90" s="109"/>
      <c r="AL90" s="109"/>
      <c r="AM90" s="109"/>
      <c r="AN90" s="109"/>
      <c r="AO90" s="109"/>
      <c r="AP90" s="109"/>
      <c r="AQ90" s="109"/>
      <c r="AR90" s="109"/>
      <c r="AS90" s="109"/>
      <c r="AT90" s="109"/>
      <c r="AU90" s="109"/>
      <c r="AV90" s="109"/>
      <c r="AW90" s="109"/>
      <c r="AX90" s="109"/>
      <c r="AY90" s="109"/>
      <c r="AZ90" s="47"/>
    </row>
    <row r="91" spans="1:102" s="107" customFormat="1" x14ac:dyDescent="0.2">
      <c r="A91" s="11"/>
      <c r="B91" s="120" t="s">
        <v>184</v>
      </c>
      <c r="C91" s="48">
        <v>0</v>
      </c>
      <c r="D91" s="47">
        <v>0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/>
      <c r="K91" s="47"/>
      <c r="L91" s="47"/>
      <c r="M91" s="47"/>
      <c r="N91" s="47"/>
      <c r="O91" s="47"/>
      <c r="P91" s="47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09"/>
      <c r="AK91" s="109"/>
      <c r="AL91" s="109"/>
      <c r="AM91" s="109"/>
      <c r="AN91" s="109"/>
      <c r="AO91" s="109"/>
      <c r="AP91" s="109"/>
      <c r="AQ91" s="109"/>
      <c r="AR91" s="109"/>
      <c r="AS91" s="109"/>
      <c r="AT91" s="109"/>
      <c r="AU91" s="109"/>
      <c r="AV91" s="109"/>
      <c r="AW91" s="109"/>
      <c r="AX91" s="109"/>
      <c r="AY91" s="109"/>
      <c r="AZ91" s="47"/>
    </row>
    <row r="92" spans="1:102" s="107" customFormat="1" x14ac:dyDescent="0.2">
      <c r="A92" s="11" t="s">
        <v>180</v>
      </c>
      <c r="B92" s="120" t="s">
        <v>183</v>
      </c>
      <c r="C92" s="48">
        <v>0</v>
      </c>
      <c r="D92" s="47">
        <v>0</v>
      </c>
      <c r="E92" s="47">
        <v>0</v>
      </c>
      <c r="F92" s="47">
        <v>0</v>
      </c>
      <c r="G92" s="47">
        <v>0</v>
      </c>
      <c r="H92" s="47">
        <v>0</v>
      </c>
      <c r="I92" s="47">
        <v>0</v>
      </c>
      <c r="J92" s="47"/>
      <c r="K92" s="47"/>
      <c r="L92" s="47"/>
      <c r="M92" s="47"/>
      <c r="N92" s="47"/>
      <c r="O92" s="47"/>
      <c r="P92" s="47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09"/>
      <c r="AK92" s="109"/>
      <c r="AL92" s="109"/>
      <c r="AM92" s="109"/>
      <c r="AN92" s="109"/>
      <c r="AO92" s="109"/>
      <c r="AP92" s="109"/>
      <c r="AQ92" s="109"/>
      <c r="AR92" s="109"/>
      <c r="AS92" s="109"/>
      <c r="AT92" s="109"/>
      <c r="AU92" s="109"/>
      <c r="AV92" s="109"/>
      <c r="AW92" s="109"/>
      <c r="AX92" s="109"/>
      <c r="AY92" s="109"/>
      <c r="AZ92" s="47"/>
    </row>
    <row r="93" spans="1:102" s="107" customFormat="1" x14ac:dyDescent="0.2">
      <c r="A93" s="13"/>
      <c r="B93" s="128" t="s">
        <v>184</v>
      </c>
      <c r="C93" s="57">
        <v>0</v>
      </c>
      <c r="D93" s="56">
        <v>0</v>
      </c>
      <c r="E93" s="56">
        <v>0</v>
      </c>
      <c r="F93" s="56">
        <v>0</v>
      </c>
      <c r="G93" s="56">
        <v>0</v>
      </c>
      <c r="H93" s="56">
        <v>0</v>
      </c>
      <c r="I93" s="56">
        <v>0</v>
      </c>
      <c r="J93" s="56"/>
      <c r="K93" s="56"/>
      <c r="L93" s="56"/>
      <c r="M93" s="56"/>
      <c r="N93" s="56"/>
      <c r="O93" s="56"/>
      <c r="P93" s="56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0"/>
      <c r="AP93" s="110"/>
      <c r="AQ93" s="110"/>
      <c r="AR93" s="110"/>
      <c r="AS93" s="110"/>
      <c r="AT93" s="110"/>
      <c r="AU93" s="110"/>
      <c r="AV93" s="110"/>
      <c r="AW93" s="110"/>
      <c r="AX93" s="110"/>
      <c r="AY93" s="110"/>
      <c r="AZ93" s="56"/>
    </row>
    <row r="94" spans="1:102" s="107" customFormat="1" x14ac:dyDescent="0.2">
      <c r="A94"/>
      <c r="B94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118"/>
    </row>
    <row r="95" spans="1:102" x14ac:dyDescent="0.2">
      <c r="A95" s="9" t="s">
        <v>270</v>
      </c>
      <c r="B95" s="2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 s="123"/>
    </row>
    <row r="96" spans="1:102" x14ac:dyDescent="0.2">
      <c r="A96" s="10" t="s">
        <v>236</v>
      </c>
      <c r="B96" s="16"/>
      <c r="C96" s="22">
        <v>1</v>
      </c>
      <c r="D96" s="18">
        <v>2</v>
      </c>
      <c r="E96" s="18">
        <v>3</v>
      </c>
      <c r="F96" s="18">
        <v>4</v>
      </c>
      <c r="G96" s="18">
        <v>5</v>
      </c>
      <c r="H96" s="18">
        <v>6</v>
      </c>
      <c r="I96" s="18">
        <v>7</v>
      </c>
      <c r="J96" s="18">
        <v>8</v>
      </c>
      <c r="K96" s="18">
        <v>9</v>
      </c>
      <c r="L96" s="18">
        <v>10</v>
      </c>
      <c r="M96" s="18">
        <v>11</v>
      </c>
      <c r="N96" s="18">
        <v>12</v>
      </c>
      <c r="O96" s="18">
        <v>13</v>
      </c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</row>
    <row r="97" spans="1:102" s="107" customFormat="1" x14ac:dyDescent="0.2">
      <c r="A97" s="11" t="s">
        <v>235</v>
      </c>
      <c r="B97" s="14"/>
      <c r="C97" s="46" t="s">
        <v>51</v>
      </c>
      <c r="D97" s="55" t="s">
        <v>52</v>
      </c>
      <c r="E97" s="55" t="s">
        <v>53</v>
      </c>
      <c r="F97" s="55" t="s">
        <v>54</v>
      </c>
      <c r="G97" s="55" t="s">
        <v>55</v>
      </c>
      <c r="H97" s="55" t="s">
        <v>56</v>
      </c>
      <c r="I97" s="55" t="s">
        <v>57</v>
      </c>
      <c r="J97" s="55" t="s">
        <v>58</v>
      </c>
      <c r="K97" s="55" t="s">
        <v>59</v>
      </c>
      <c r="L97" s="55" t="s">
        <v>60</v>
      </c>
      <c r="M97" s="55" t="s">
        <v>61</v>
      </c>
      <c r="N97" s="55" t="s">
        <v>62</v>
      </c>
      <c r="O97" s="55" t="s">
        <v>63</v>
      </c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/>
      <c r="BF97" s="55"/>
      <c r="BG97" s="55"/>
      <c r="BH97" s="55"/>
      <c r="BI97" s="55"/>
      <c r="BJ97" s="55"/>
      <c r="BK97" s="55"/>
      <c r="BL97" s="55"/>
      <c r="BM97" s="55"/>
      <c r="BN97" s="55"/>
      <c r="BO97" s="55"/>
      <c r="BP97" s="55"/>
      <c r="BQ97" s="55"/>
      <c r="BR97" s="55"/>
      <c r="BS97" s="55"/>
      <c r="BT97" s="55"/>
      <c r="BU97" s="55"/>
      <c r="BV97" s="55"/>
      <c r="BW97" s="55"/>
      <c r="BX97" s="55"/>
      <c r="BY97" s="55"/>
      <c r="BZ97" s="55"/>
      <c r="CA97" s="55"/>
      <c r="CB97" s="55"/>
      <c r="CC97" s="55"/>
      <c r="CD97" s="55"/>
      <c r="CE97" s="55"/>
      <c r="CF97" s="55"/>
      <c r="CG97" s="55"/>
      <c r="CH97" s="55"/>
      <c r="CI97" s="55"/>
      <c r="CJ97" s="55"/>
      <c r="CK97" s="55"/>
      <c r="CL97" s="55"/>
      <c r="CM97" s="55"/>
      <c r="CN97" s="55"/>
      <c r="CO97" s="55"/>
      <c r="CP97" s="55"/>
      <c r="CQ97" s="55"/>
      <c r="CR97" s="55"/>
      <c r="CS97" s="55"/>
      <c r="CT97" s="55"/>
      <c r="CU97" s="55"/>
      <c r="CV97" s="55"/>
      <c r="CW97" s="55"/>
      <c r="CX97" s="55"/>
    </row>
    <row r="98" spans="1:102" s="107" customFormat="1" x14ac:dyDescent="0.2">
      <c r="A98" s="11" t="s">
        <v>207</v>
      </c>
      <c r="B98" s="14"/>
      <c r="C98" s="47">
        <v>7</v>
      </c>
      <c r="D98" s="48">
        <v>1</v>
      </c>
      <c r="E98" s="48">
        <v>1</v>
      </c>
      <c r="F98" s="48">
        <v>4</v>
      </c>
      <c r="G98" s="48">
        <v>4</v>
      </c>
      <c r="H98" s="48">
        <v>1</v>
      </c>
      <c r="I98" s="48">
        <v>2</v>
      </c>
      <c r="J98" s="48">
        <v>4</v>
      </c>
      <c r="K98" s="48">
        <v>5</v>
      </c>
      <c r="L98" s="48">
        <v>6</v>
      </c>
      <c r="M98" s="48">
        <v>1</v>
      </c>
      <c r="N98" s="48">
        <v>4</v>
      </c>
      <c r="O98" s="48">
        <v>6</v>
      </c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8"/>
      <c r="CQ98" s="48"/>
      <c r="CR98" s="48"/>
      <c r="CS98" s="48"/>
      <c r="CT98" s="48"/>
      <c r="CU98" s="48"/>
      <c r="CV98" s="48"/>
      <c r="CW98" s="48"/>
      <c r="CX98" s="48"/>
    </row>
    <row r="99" spans="1:102" s="107" customFormat="1" x14ac:dyDescent="0.2">
      <c r="A99" s="11" t="s">
        <v>237</v>
      </c>
      <c r="B99" s="14"/>
      <c r="C99" s="56">
        <v>4</v>
      </c>
      <c r="D99" s="57">
        <v>1</v>
      </c>
      <c r="E99" s="57">
        <v>1</v>
      </c>
      <c r="F99" s="57">
        <v>1</v>
      </c>
      <c r="G99" s="57">
        <v>1</v>
      </c>
      <c r="H99" s="57">
        <v>1</v>
      </c>
      <c r="I99" s="57">
        <v>1</v>
      </c>
      <c r="J99" s="57">
        <v>1</v>
      </c>
      <c r="K99" s="57">
        <v>1</v>
      </c>
      <c r="L99" s="57">
        <v>1</v>
      </c>
      <c r="M99" s="57">
        <v>3</v>
      </c>
      <c r="N99" s="57">
        <v>3</v>
      </c>
      <c r="O99" s="57">
        <v>3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7"/>
      <c r="BP99" s="57"/>
      <c r="BQ99" s="57"/>
      <c r="BR99" s="57"/>
      <c r="BS99" s="57"/>
      <c r="BT99" s="57"/>
      <c r="BU99" s="57"/>
      <c r="BV99" s="57"/>
      <c r="BW99" s="57"/>
      <c r="BX99" s="57"/>
      <c r="BY99" s="57"/>
      <c r="BZ99" s="57"/>
      <c r="CA99" s="57"/>
      <c r="CB99" s="57"/>
      <c r="CC99" s="57"/>
      <c r="CD99" s="57"/>
      <c r="CE99" s="57"/>
      <c r="CF99" s="57"/>
      <c r="CG99" s="57"/>
      <c r="CH99" s="57"/>
      <c r="CI99" s="57"/>
      <c r="CJ99" s="57"/>
      <c r="CK99" s="57"/>
      <c r="CL99" s="57"/>
      <c r="CM99" s="57"/>
      <c r="CN99" s="57"/>
      <c r="CO99" s="57"/>
      <c r="CP99" s="57"/>
      <c r="CQ99" s="57"/>
      <c r="CR99" s="57"/>
      <c r="CS99" s="57"/>
      <c r="CT99" s="57"/>
      <c r="CU99" s="57"/>
      <c r="CV99" s="57"/>
      <c r="CW99" s="57"/>
      <c r="CX99" s="57"/>
    </row>
    <row r="100" spans="1:102" s="107" customFormat="1" ht="14.25" x14ac:dyDescent="0.2">
      <c r="A100" s="12" t="s">
        <v>412</v>
      </c>
      <c r="B100" s="14"/>
      <c r="C100" s="58">
        <v>162804</v>
      </c>
      <c r="D100" s="59">
        <v>123625</v>
      </c>
      <c r="E100" s="59">
        <v>27.700000762939453</v>
      </c>
      <c r="F100" s="59">
        <v>34929</v>
      </c>
      <c r="G100" s="59">
        <v>123</v>
      </c>
      <c r="H100" s="59">
        <v>600</v>
      </c>
      <c r="I100" s="59">
        <v>400</v>
      </c>
      <c r="J100" s="59">
        <v>2440</v>
      </c>
      <c r="K100" s="59">
        <v>150</v>
      </c>
      <c r="L100" s="59">
        <v>400</v>
      </c>
      <c r="M100" s="59">
        <v>0</v>
      </c>
      <c r="N100" s="59">
        <v>0</v>
      </c>
      <c r="O100" s="59">
        <v>0</v>
      </c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  <c r="BV100" s="59"/>
      <c r="BW100" s="59"/>
      <c r="BX100" s="59"/>
      <c r="BY100" s="59"/>
      <c r="BZ100" s="59"/>
      <c r="CA100" s="59"/>
      <c r="CB100" s="59"/>
      <c r="CC100" s="59"/>
      <c r="CD100" s="59"/>
      <c r="CE100" s="59"/>
      <c r="CF100" s="59"/>
      <c r="CG100" s="59"/>
      <c r="CH100" s="59"/>
      <c r="CI100" s="59"/>
      <c r="CJ100" s="59"/>
      <c r="CK100" s="59"/>
      <c r="CL100" s="59"/>
      <c r="CM100" s="59"/>
      <c r="CN100" s="59"/>
      <c r="CO100" s="59"/>
      <c r="CP100" s="59"/>
      <c r="CQ100" s="59"/>
      <c r="CR100" s="59"/>
      <c r="CS100" s="59"/>
      <c r="CT100" s="59"/>
      <c r="CU100" s="59"/>
      <c r="CV100" s="59"/>
      <c r="CW100" s="59"/>
      <c r="CX100" s="59"/>
    </row>
    <row r="101" spans="1:102" s="107" customFormat="1" x14ac:dyDescent="0.2">
      <c r="A101" s="11" t="s">
        <v>224</v>
      </c>
      <c r="B101" s="14" t="s">
        <v>183</v>
      </c>
      <c r="C101" s="49">
        <v>10556</v>
      </c>
      <c r="D101" s="50">
        <v>6770</v>
      </c>
      <c r="E101" s="50">
        <v>10</v>
      </c>
      <c r="F101" s="50">
        <v>2572</v>
      </c>
      <c r="G101" s="50">
        <v>37</v>
      </c>
      <c r="H101" s="50">
        <v>216</v>
      </c>
      <c r="I101" s="50">
        <v>143</v>
      </c>
      <c r="J101" s="50">
        <v>736</v>
      </c>
      <c r="K101" s="50">
        <v>45</v>
      </c>
      <c r="L101" s="50">
        <v>120</v>
      </c>
      <c r="M101" s="50">
        <v>1</v>
      </c>
      <c r="N101" s="50">
        <v>1</v>
      </c>
      <c r="O101" s="50">
        <v>1</v>
      </c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50"/>
      <c r="BN101" s="50"/>
      <c r="BO101" s="50"/>
      <c r="BP101" s="50"/>
      <c r="BQ101" s="50"/>
      <c r="BR101" s="50"/>
      <c r="BS101" s="50"/>
      <c r="BT101" s="50"/>
      <c r="BU101" s="50"/>
      <c r="BV101" s="50"/>
      <c r="BW101" s="50"/>
      <c r="BX101" s="50"/>
      <c r="BY101" s="50"/>
      <c r="BZ101" s="50"/>
      <c r="CA101" s="50"/>
      <c r="CB101" s="50"/>
      <c r="CC101" s="50"/>
      <c r="CD101" s="50"/>
      <c r="CE101" s="50"/>
      <c r="CF101" s="50"/>
      <c r="CG101" s="50"/>
      <c r="CH101" s="50"/>
      <c r="CI101" s="50"/>
      <c r="CJ101" s="50"/>
      <c r="CK101" s="50"/>
      <c r="CL101" s="50"/>
      <c r="CM101" s="50"/>
      <c r="CN101" s="50"/>
      <c r="CO101" s="50"/>
      <c r="CP101" s="50"/>
      <c r="CQ101" s="50"/>
      <c r="CR101" s="50"/>
      <c r="CS101" s="50"/>
      <c r="CT101" s="50"/>
      <c r="CU101" s="50"/>
      <c r="CV101" s="50"/>
      <c r="CW101" s="50"/>
      <c r="CX101" s="50"/>
    </row>
    <row r="102" spans="1:102" s="107" customFormat="1" x14ac:dyDescent="0.2">
      <c r="A102" s="11"/>
      <c r="B102" s="14" t="s">
        <v>184</v>
      </c>
      <c r="C102" s="49">
        <v>0.10000000149011612</v>
      </c>
      <c r="D102" s="50">
        <v>0.10000000149011612</v>
      </c>
      <c r="E102" s="50">
        <v>0.10000000149011612</v>
      </c>
      <c r="F102" s="50">
        <v>0.10000000149011612</v>
      </c>
      <c r="G102" s="50">
        <v>0.10000000149011612</v>
      </c>
      <c r="H102" s="50">
        <v>0.20000000298023224</v>
      </c>
      <c r="I102" s="50">
        <v>0.20000000298023224</v>
      </c>
      <c r="J102" s="50">
        <v>0.20000000298023224</v>
      </c>
      <c r="K102" s="50">
        <v>0.20000000298023224</v>
      </c>
      <c r="L102" s="50">
        <v>0.20000000298023224</v>
      </c>
      <c r="M102" s="50">
        <v>0.20000000298023224</v>
      </c>
      <c r="N102" s="50">
        <v>0.20000000298023224</v>
      </c>
      <c r="O102" s="50">
        <v>0.20000000298023224</v>
      </c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50"/>
      <c r="BN102" s="50"/>
      <c r="BO102" s="50"/>
      <c r="BP102" s="50"/>
      <c r="BQ102" s="50"/>
      <c r="BR102" s="50"/>
      <c r="BS102" s="50"/>
      <c r="BT102" s="50"/>
      <c r="BU102" s="50"/>
      <c r="BV102" s="50"/>
      <c r="BW102" s="50"/>
      <c r="BX102" s="50"/>
      <c r="BY102" s="50"/>
      <c r="BZ102" s="50"/>
      <c r="CA102" s="50"/>
      <c r="CB102" s="50"/>
      <c r="CC102" s="50"/>
      <c r="CD102" s="50"/>
      <c r="CE102" s="50"/>
      <c r="CF102" s="50"/>
      <c r="CG102" s="50"/>
      <c r="CH102" s="50"/>
      <c r="CI102" s="50"/>
      <c r="CJ102" s="50"/>
      <c r="CK102" s="50"/>
      <c r="CL102" s="50"/>
      <c r="CM102" s="50"/>
      <c r="CN102" s="50"/>
      <c r="CO102" s="50"/>
      <c r="CP102" s="50"/>
      <c r="CQ102" s="50"/>
      <c r="CR102" s="50"/>
      <c r="CS102" s="50"/>
      <c r="CT102" s="50"/>
      <c r="CU102" s="50"/>
      <c r="CV102" s="50"/>
      <c r="CW102" s="50"/>
      <c r="CX102" s="50"/>
    </row>
    <row r="103" spans="1:102" s="107" customFormat="1" x14ac:dyDescent="0.2">
      <c r="A103" s="12" t="s">
        <v>267</v>
      </c>
      <c r="B103" s="14" t="s">
        <v>183</v>
      </c>
      <c r="C103" s="49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50">
        <v>0</v>
      </c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50"/>
      <c r="BN103" s="50"/>
      <c r="BO103" s="50"/>
      <c r="BP103" s="50"/>
      <c r="BQ103" s="50"/>
      <c r="BR103" s="50"/>
      <c r="BS103" s="50"/>
      <c r="BT103" s="50"/>
      <c r="BU103" s="50"/>
      <c r="BV103" s="50"/>
      <c r="BW103" s="50"/>
      <c r="BX103" s="50"/>
      <c r="BY103" s="50"/>
      <c r="BZ103" s="50"/>
      <c r="CA103" s="50"/>
      <c r="CB103" s="50"/>
      <c r="CC103" s="50"/>
      <c r="CD103" s="50"/>
      <c r="CE103" s="50"/>
      <c r="CF103" s="50"/>
      <c r="CG103" s="50"/>
      <c r="CH103" s="50"/>
      <c r="CI103" s="50"/>
      <c r="CJ103" s="50"/>
      <c r="CK103" s="50"/>
      <c r="CL103" s="50"/>
      <c r="CM103" s="50"/>
      <c r="CN103" s="50"/>
      <c r="CO103" s="50"/>
      <c r="CP103" s="50"/>
      <c r="CQ103" s="50"/>
      <c r="CR103" s="50"/>
      <c r="CS103" s="50"/>
      <c r="CT103" s="50"/>
      <c r="CU103" s="50"/>
      <c r="CV103" s="50"/>
      <c r="CW103" s="50"/>
      <c r="CX103" s="50"/>
    </row>
    <row r="104" spans="1:102" s="107" customFormat="1" x14ac:dyDescent="0.2">
      <c r="A104" s="11"/>
      <c r="B104" s="14" t="s">
        <v>184</v>
      </c>
      <c r="C104" s="49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50">
        <v>0</v>
      </c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  <c r="BR104" s="50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  <c r="CP104" s="50"/>
      <c r="CQ104" s="50"/>
      <c r="CR104" s="50"/>
      <c r="CS104" s="50"/>
      <c r="CT104" s="50"/>
      <c r="CU104" s="50"/>
      <c r="CV104" s="50"/>
      <c r="CW104" s="50"/>
      <c r="CX104" s="50"/>
    </row>
    <row r="105" spans="1:102" s="107" customFormat="1" x14ac:dyDescent="0.2">
      <c r="A105" s="11" t="s">
        <v>201</v>
      </c>
      <c r="B105" s="14" t="s">
        <v>183</v>
      </c>
      <c r="C105" s="49">
        <v>109</v>
      </c>
      <c r="D105" s="50">
        <v>570</v>
      </c>
      <c r="E105" s="50">
        <v>72</v>
      </c>
      <c r="F105" s="50">
        <v>364</v>
      </c>
      <c r="G105" s="50">
        <v>150</v>
      </c>
      <c r="H105" s="50">
        <v>72</v>
      </c>
      <c r="I105" s="50">
        <v>72</v>
      </c>
      <c r="J105" s="50">
        <v>150</v>
      </c>
      <c r="K105" s="50">
        <v>150</v>
      </c>
      <c r="L105" s="50">
        <v>150</v>
      </c>
      <c r="M105" s="50">
        <v>4535</v>
      </c>
      <c r="N105" s="50">
        <v>14261</v>
      </c>
      <c r="O105" s="50">
        <v>1135</v>
      </c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50"/>
      <c r="BP105" s="50"/>
      <c r="BQ105" s="50"/>
      <c r="BR105" s="50"/>
      <c r="BS105" s="50"/>
      <c r="BT105" s="50"/>
      <c r="BU105" s="50"/>
      <c r="BV105" s="50"/>
      <c r="BW105" s="50"/>
      <c r="BX105" s="50"/>
      <c r="BY105" s="50"/>
      <c r="BZ105" s="50"/>
      <c r="CA105" s="50"/>
      <c r="CB105" s="50"/>
      <c r="CC105" s="50"/>
      <c r="CD105" s="50"/>
      <c r="CE105" s="50"/>
      <c r="CF105" s="50"/>
      <c r="CG105" s="50"/>
      <c r="CH105" s="50"/>
      <c r="CI105" s="50"/>
      <c r="CJ105" s="50"/>
      <c r="CK105" s="50"/>
      <c r="CL105" s="50"/>
      <c r="CM105" s="50"/>
      <c r="CN105" s="50"/>
      <c r="CO105" s="50"/>
      <c r="CP105" s="50"/>
      <c r="CQ105" s="50"/>
      <c r="CR105" s="50"/>
      <c r="CS105" s="50"/>
      <c r="CT105" s="50"/>
      <c r="CU105" s="50"/>
      <c r="CV105" s="50"/>
      <c r="CW105" s="50"/>
      <c r="CX105" s="50"/>
    </row>
    <row r="106" spans="1:102" s="107" customFormat="1" x14ac:dyDescent="0.2">
      <c r="A106" s="11"/>
      <c r="B106" s="14" t="s">
        <v>184</v>
      </c>
      <c r="C106" s="49">
        <v>3.9999999105930328E-2</v>
      </c>
      <c r="D106" s="50">
        <v>0.20000000298023224</v>
      </c>
      <c r="E106" s="50">
        <v>0.2199999988079071</v>
      </c>
      <c r="F106" s="50">
        <v>0.10999999940395355</v>
      </c>
      <c r="G106" s="50">
        <v>0.18999999761581421</v>
      </c>
      <c r="H106" s="50">
        <v>0.30000001192092896</v>
      </c>
      <c r="I106" s="50">
        <v>0.30000001192092896</v>
      </c>
      <c r="J106" s="50">
        <v>0.30000001192092896</v>
      </c>
      <c r="K106" s="50">
        <v>0.30000001192092896</v>
      </c>
      <c r="L106" s="50">
        <v>0.30000001192092896</v>
      </c>
      <c r="M106" s="50">
        <v>0</v>
      </c>
      <c r="N106" s="50">
        <v>0</v>
      </c>
      <c r="O106" s="50">
        <v>0</v>
      </c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  <c r="BM106" s="50"/>
      <c r="BN106" s="50"/>
      <c r="BO106" s="50"/>
      <c r="BP106" s="50"/>
      <c r="BQ106" s="50"/>
      <c r="BR106" s="50"/>
      <c r="BS106" s="50"/>
      <c r="BT106" s="50"/>
      <c r="BU106" s="50"/>
      <c r="BV106" s="50"/>
      <c r="BW106" s="50"/>
      <c r="BX106" s="50"/>
      <c r="BY106" s="50"/>
      <c r="BZ106" s="50"/>
      <c r="CA106" s="50"/>
      <c r="CB106" s="50"/>
      <c r="CC106" s="50"/>
      <c r="CD106" s="50"/>
      <c r="CE106" s="50"/>
      <c r="CF106" s="50"/>
      <c r="CG106" s="50"/>
      <c r="CH106" s="50"/>
      <c r="CI106" s="50"/>
      <c r="CJ106" s="50"/>
      <c r="CK106" s="50"/>
      <c r="CL106" s="50"/>
      <c r="CM106" s="50"/>
      <c r="CN106" s="50"/>
      <c r="CO106" s="50"/>
      <c r="CP106" s="50"/>
      <c r="CQ106" s="50"/>
      <c r="CR106" s="50"/>
      <c r="CS106" s="50"/>
      <c r="CT106" s="50"/>
      <c r="CU106" s="50"/>
      <c r="CV106" s="50"/>
      <c r="CW106" s="50"/>
      <c r="CX106" s="50"/>
    </row>
    <row r="107" spans="1:102" s="107" customFormat="1" x14ac:dyDescent="0.2">
      <c r="A107" s="11" t="s">
        <v>202</v>
      </c>
      <c r="B107" s="14" t="s">
        <v>183</v>
      </c>
      <c r="C107" s="49">
        <v>1464</v>
      </c>
      <c r="D107" s="50">
        <v>2467</v>
      </c>
      <c r="E107" s="50">
        <v>1639</v>
      </c>
      <c r="F107" s="50">
        <v>1884</v>
      </c>
      <c r="G107" s="50">
        <v>1940</v>
      </c>
      <c r="H107" s="50">
        <v>1639</v>
      </c>
      <c r="I107" s="50">
        <v>1639</v>
      </c>
      <c r="J107" s="50">
        <v>1940</v>
      </c>
      <c r="K107" s="50">
        <v>1940</v>
      </c>
      <c r="L107" s="50">
        <v>1940</v>
      </c>
      <c r="M107" s="50">
        <v>13605</v>
      </c>
      <c r="N107" s="50">
        <v>38456</v>
      </c>
      <c r="O107" s="50">
        <v>3400</v>
      </c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50"/>
      <c r="BP107" s="50"/>
      <c r="BQ107" s="50"/>
      <c r="BR107" s="50"/>
      <c r="BS107" s="50"/>
      <c r="BT107" s="50"/>
      <c r="BU107" s="50"/>
      <c r="BV107" s="50"/>
      <c r="BW107" s="50"/>
      <c r="BX107" s="50"/>
      <c r="BY107" s="50"/>
      <c r="BZ107" s="50"/>
      <c r="CA107" s="50"/>
      <c r="CB107" s="50"/>
      <c r="CC107" s="50"/>
      <c r="CD107" s="50"/>
      <c r="CE107" s="50"/>
      <c r="CF107" s="50"/>
      <c r="CG107" s="50"/>
      <c r="CH107" s="50"/>
      <c r="CI107" s="50"/>
      <c r="CJ107" s="50"/>
      <c r="CK107" s="50"/>
      <c r="CL107" s="50"/>
      <c r="CM107" s="50"/>
      <c r="CN107" s="50"/>
      <c r="CO107" s="50"/>
      <c r="CP107" s="50"/>
      <c r="CQ107" s="50"/>
      <c r="CR107" s="50"/>
      <c r="CS107" s="50"/>
      <c r="CT107" s="50"/>
      <c r="CU107" s="50"/>
      <c r="CV107" s="50"/>
      <c r="CW107" s="50"/>
      <c r="CX107" s="50"/>
    </row>
    <row r="108" spans="1:102" s="107" customFormat="1" x14ac:dyDescent="0.2">
      <c r="A108" s="11"/>
      <c r="B108" s="14" t="s">
        <v>184</v>
      </c>
      <c r="C108" s="49">
        <v>0.10000000149011612</v>
      </c>
      <c r="D108" s="50">
        <v>0.15000000596046448</v>
      </c>
      <c r="E108" s="50">
        <v>5.9999998658895493E-2</v>
      </c>
      <c r="F108" s="50">
        <v>9.0000003576278687E-2</v>
      </c>
      <c r="G108" s="50">
        <v>5.9999998658895493E-2</v>
      </c>
      <c r="H108" s="50">
        <v>0.30000001192092896</v>
      </c>
      <c r="I108" s="50">
        <v>0.30000001192092896</v>
      </c>
      <c r="J108" s="50">
        <v>0.30000001192092896</v>
      </c>
      <c r="K108" s="50">
        <v>0.30000001192092896</v>
      </c>
      <c r="L108" s="50">
        <v>0.30000001192092896</v>
      </c>
      <c r="M108" s="50">
        <v>0</v>
      </c>
      <c r="N108" s="50">
        <v>0</v>
      </c>
      <c r="O108" s="50">
        <v>0</v>
      </c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0"/>
      <c r="BR108" s="50"/>
      <c r="BS108" s="50"/>
      <c r="BT108" s="50"/>
      <c r="BU108" s="50"/>
      <c r="BV108" s="50"/>
      <c r="BW108" s="50"/>
      <c r="BX108" s="50"/>
      <c r="BY108" s="50"/>
      <c r="BZ108" s="50"/>
      <c r="CA108" s="50"/>
      <c r="CB108" s="50"/>
      <c r="CC108" s="50"/>
      <c r="CD108" s="50"/>
      <c r="CE108" s="50"/>
      <c r="CF108" s="50"/>
      <c r="CG108" s="50"/>
      <c r="CH108" s="50"/>
      <c r="CI108" s="50"/>
      <c r="CJ108" s="50"/>
      <c r="CK108" s="50"/>
      <c r="CL108" s="50"/>
      <c r="CM108" s="50"/>
      <c r="CN108" s="50"/>
      <c r="CO108" s="50"/>
      <c r="CP108" s="50"/>
      <c r="CQ108" s="50"/>
      <c r="CR108" s="50"/>
      <c r="CS108" s="50"/>
      <c r="CT108" s="50"/>
      <c r="CU108" s="50"/>
      <c r="CV108" s="50"/>
      <c r="CW108" s="50"/>
      <c r="CX108" s="50"/>
    </row>
    <row r="109" spans="1:102" s="107" customFormat="1" x14ac:dyDescent="0.2">
      <c r="A109" s="11" t="s">
        <v>225</v>
      </c>
      <c r="B109" s="14" t="s">
        <v>183</v>
      </c>
      <c r="C109" s="49">
        <v>86</v>
      </c>
      <c r="D109" s="50">
        <v>158</v>
      </c>
      <c r="E109" s="50">
        <v>12</v>
      </c>
      <c r="F109" s="50">
        <v>133</v>
      </c>
      <c r="G109" s="50">
        <v>22</v>
      </c>
      <c r="H109" s="50">
        <v>12</v>
      </c>
      <c r="I109" s="50">
        <v>12</v>
      </c>
      <c r="J109" s="50">
        <v>22</v>
      </c>
      <c r="K109" s="50">
        <v>22</v>
      </c>
      <c r="L109" s="50">
        <v>22</v>
      </c>
      <c r="M109" s="50">
        <v>4535</v>
      </c>
      <c r="N109" s="50">
        <v>14261</v>
      </c>
      <c r="O109" s="50">
        <v>1135</v>
      </c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50"/>
      <c r="BP109" s="50"/>
      <c r="BQ109" s="50"/>
      <c r="BR109" s="50"/>
      <c r="BS109" s="50"/>
      <c r="BT109" s="50"/>
      <c r="BU109" s="50"/>
      <c r="BV109" s="50"/>
      <c r="BW109" s="50"/>
      <c r="BX109" s="50"/>
      <c r="BY109" s="50"/>
      <c r="BZ109" s="50"/>
      <c r="CA109" s="50"/>
      <c r="CB109" s="50"/>
      <c r="CC109" s="50"/>
      <c r="CD109" s="50"/>
      <c r="CE109" s="50"/>
      <c r="CF109" s="50"/>
      <c r="CG109" s="50"/>
      <c r="CH109" s="50"/>
      <c r="CI109" s="50"/>
      <c r="CJ109" s="50"/>
      <c r="CK109" s="50"/>
      <c r="CL109" s="50"/>
      <c r="CM109" s="50"/>
      <c r="CN109" s="50"/>
      <c r="CO109" s="50"/>
      <c r="CP109" s="50"/>
      <c r="CQ109" s="50"/>
      <c r="CR109" s="50"/>
      <c r="CS109" s="50"/>
      <c r="CT109" s="50"/>
      <c r="CU109" s="50"/>
      <c r="CV109" s="50"/>
      <c r="CW109" s="50"/>
      <c r="CX109" s="50"/>
    </row>
    <row r="110" spans="1:102" s="107" customFormat="1" x14ac:dyDescent="0.2">
      <c r="A110" s="11"/>
      <c r="B110" s="14" t="s">
        <v>184</v>
      </c>
      <c r="C110" s="49">
        <v>0.10000000149011612</v>
      </c>
      <c r="D110" s="50">
        <v>9.0000003576278687E-2</v>
      </c>
      <c r="E110" s="50">
        <v>9.0000003576278687E-2</v>
      </c>
      <c r="F110" s="50">
        <v>7.0000000298023224E-2</v>
      </c>
      <c r="G110" s="50">
        <v>0.15999999642372131</v>
      </c>
      <c r="H110" s="50">
        <v>0.30000001192092896</v>
      </c>
      <c r="I110" s="50">
        <v>0.30000001192092896</v>
      </c>
      <c r="J110" s="50">
        <v>0.30000001192092896</v>
      </c>
      <c r="K110" s="50">
        <v>0.30000001192092896</v>
      </c>
      <c r="L110" s="50">
        <v>0.30000001192092896</v>
      </c>
      <c r="M110" s="50">
        <v>0</v>
      </c>
      <c r="N110" s="50">
        <v>0</v>
      </c>
      <c r="O110" s="50">
        <v>0</v>
      </c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50"/>
      <c r="BP110" s="50"/>
      <c r="BQ110" s="50"/>
      <c r="BR110" s="50"/>
      <c r="BS110" s="50"/>
      <c r="BT110" s="50"/>
      <c r="BU110" s="50"/>
      <c r="BV110" s="50"/>
      <c r="BW110" s="50"/>
      <c r="BX110" s="50"/>
      <c r="BY110" s="50"/>
      <c r="BZ110" s="50"/>
      <c r="CA110" s="50"/>
      <c r="CB110" s="50"/>
      <c r="CC110" s="50"/>
      <c r="CD110" s="50"/>
      <c r="CE110" s="50"/>
      <c r="CF110" s="50"/>
      <c r="CG110" s="50"/>
      <c r="CH110" s="50"/>
      <c r="CI110" s="50"/>
      <c r="CJ110" s="50"/>
      <c r="CK110" s="50"/>
      <c r="CL110" s="50"/>
      <c r="CM110" s="50"/>
      <c r="CN110" s="50"/>
      <c r="CO110" s="50"/>
      <c r="CP110" s="50"/>
      <c r="CQ110" s="50"/>
      <c r="CR110" s="50"/>
      <c r="CS110" s="50"/>
      <c r="CT110" s="50"/>
      <c r="CU110" s="50"/>
      <c r="CV110" s="50"/>
      <c r="CW110" s="50"/>
      <c r="CX110" s="50"/>
    </row>
    <row r="111" spans="1:102" s="107" customFormat="1" x14ac:dyDescent="0.2">
      <c r="A111" s="11" t="s">
        <v>226</v>
      </c>
      <c r="B111" s="14" t="s">
        <v>183</v>
      </c>
      <c r="C111" s="49">
        <v>771</v>
      </c>
      <c r="D111" s="50">
        <v>500</v>
      </c>
      <c r="E111" s="50">
        <v>268</v>
      </c>
      <c r="F111" s="50">
        <v>285</v>
      </c>
      <c r="G111" s="50">
        <v>431</v>
      </c>
      <c r="H111" s="50">
        <v>268</v>
      </c>
      <c r="I111" s="50">
        <v>268</v>
      </c>
      <c r="J111" s="50">
        <v>431</v>
      </c>
      <c r="K111" s="50">
        <v>431</v>
      </c>
      <c r="L111" s="50">
        <v>431</v>
      </c>
      <c r="M111" s="50">
        <v>13605</v>
      </c>
      <c r="N111" s="50">
        <v>38456</v>
      </c>
      <c r="O111" s="50">
        <v>3400</v>
      </c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  <c r="BN111" s="50"/>
      <c r="BO111" s="50"/>
      <c r="BP111" s="50"/>
      <c r="BQ111" s="50"/>
      <c r="BR111" s="50"/>
      <c r="BS111" s="50"/>
      <c r="BT111" s="50"/>
      <c r="BU111" s="50"/>
      <c r="BV111" s="50"/>
      <c r="BW111" s="50"/>
      <c r="BX111" s="50"/>
      <c r="BY111" s="50"/>
      <c r="BZ111" s="50"/>
      <c r="CA111" s="50"/>
      <c r="CB111" s="50"/>
      <c r="CC111" s="50"/>
      <c r="CD111" s="50"/>
      <c r="CE111" s="50"/>
      <c r="CF111" s="50"/>
      <c r="CG111" s="50"/>
      <c r="CH111" s="50"/>
      <c r="CI111" s="50"/>
      <c r="CJ111" s="50"/>
      <c r="CK111" s="50"/>
      <c r="CL111" s="50"/>
      <c r="CM111" s="50"/>
      <c r="CN111" s="50"/>
      <c r="CO111" s="50"/>
      <c r="CP111" s="50"/>
      <c r="CQ111" s="50"/>
      <c r="CR111" s="50"/>
      <c r="CS111" s="50"/>
      <c r="CT111" s="50"/>
      <c r="CU111" s="50"/>
      <c r="CV111" s="50"/>
      <c r="CW111" s="50"/>
      <c r="CX111" s="50"/>
    </row>
    <row r="112" spans="1:102" s="107" customFormat="1" x14ac:dyDescent="0.2">
      <c r="A112" s="11"/>
      <c r="B112" s="14" t="s">
        <v>184</v>
      </c>
      <c r="C112" s="51">
        <v>0.33000001311302185</v>
      </c>
      <c r="D112" s="52">
        <v>0.30000001192092896</v>
      </c>
      <c r="E112" s="52">
        <v>5.9999998658895493E-2</v>
      </c>
      <c r="F112" s="52">
        <v>0.17000000178813934</v>
      </c>
      <c r="G112" s="52">
        <v>0.12999999523162842</v>
      </c>
      <c r="H112" s="52">
        <v>0.30000001192092896</v>
      </c>
      <c r="I112" s="52">
        <v>0.30000001192092896</v>
      </c>
      <c r="J112" s="52">
        <v>0.30000001192092896</v>
      </c>
      <c r="K112" s="52">
        <v>0.30000001192092896</v>
      </c>
      <c r="L112" s="52">
        <v>0.30000001192092896</v>
      </c>
      <c r="M112" s="52">
        <v>0</v>
      </c>
      <c r="N112" s="52">
        <v>0</v>
      </c>
      <c r="O112" s="52">
        <v>0</v>
      </c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  <c r="CK112" s="52"/>
      <c r="CL112" s="52"/>
      <c r="CM112" s="52"/>
      <c r="CN112" s="52"/>
      <c r="CO112" s="52"/>
      <c r="CP112" s="52"/>
      <c r="CQ112" s="52"/>
      <c r="CR112" s="52"/>
      <c r="CS112" s="52"/>
      <c r="CT112" s="52"/>
      <c r="CU112" s="52"/>
      <c r="CV112" s="52"/>
      <c r="CW112" s="52"/>
      <c r="CX112" s="52"/>
    </row>
    <row r="113" spans="1:102" s="107" customFormat="1" ht="14.25" x14ac:dyDescent="0.2">
      <c r="A113" s="12" t="s">
        <v>413</v>
      </c>
      <c r="B113" s="14"/>
      <c r="C113" s="139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3"/>
      <c r="CU113" s="53"/>
      <c r="CV113" s="53"/>
      <c r="CW113" s="53"/>
      <c r="CX113" s="143"/>
    </row>
    <row r="114" spans="1:102" s="107" customFormat="1" x14ac:dyDescent="0.2">
      <c r="A114" s="11" t="s">
        <v>227</v>
      </c>
      <c r="B114" s="14" t="str">
        <f>C125</f>
        <v>landuse1</v>
      </c>
      <c r="C114" s="54">
        <v>0</v>
      </c>
      <c r="D114" s="39">
        <v>0</v>
      </c>
      <c r="E114" s="39">
        <v>0</v>
      </c>
      <c r="F114" s="39">
        <v>0</v>
      </c>
      <c r="G114" s="39">
        <v>0</v>
      </c>
      <c r="H114" s="39">
        <v>0</v>
      </c>
      <c r="I114" s="39">
        <v>0</v>
      </c>
      <c r="J114" s="39">
        <v>0</v>
      </c>
      <c r="K114" s="39">
        <v>0</v>
      </c>
      <c r="L114" s="39">
        <v>0</v>
      </c>
      <c r="M114" s="39">
        <v>0</v>
      </c>
      <c r="N114" s="39">
        <v>0</v>
      </c>
      <c r="O114" s="39">
        <v>0</v>
      </c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  <c r="CP114" s="39"/>
      <c r="CQ114" s="39"/>
      <c r="CR114" s="39"/>
      <c r="CS114" s="39"/>
      <c r="CT114" s="39"/>
      <c r="CU114" s="39"/>
      <c r="CV114" s="39"/>
      <c r="CW114" s="39"/>
      <c r="CX114" s="39"/>
    </row>
    <row r="115" spans="1:102" s="107" customFormat="1" x14ac:dyDescent="0.2">
      <c r="A115" s="12" t="s">
        <v>228</v>
      </c>
      <c r="B115" s="14" t="str">
        <f>D125</f>
        <v>landuse2</v>
      </c>
      <c r="C115" s="44">
        <v>0</v>
      </c>
      <c r="D115" s="41">
        <v>0</v>
      </c>
      <c r="E115" s="41">
        <v>0</v>
      </c>
      <c r="F115" s="41">
        <v>0</v>
      </c>
      <c r="G115" s="41">
        <v>0</v>
      </c>
      <c r="H115" s="41">
        <v>0</v>
      </c>
      <c r="I115" s="41">
        <v>0</v>
      </c>
      <c r="J115" s="41">
        <v>0</v>
      </c>
      <c r="K115" s="41">
        <v>0</v>
      </c>
      <c r="L115" s="41">
        <v>0</v>
      </c>
      <c r="M115" s="41">
        <v>0</v>
      </c>
      <c r="N115" s="41">
        <v>0</v>
      </c>
      <c r="O115" s="41">
        <v>0</v>
      </c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</row>
    <row r="116" spans="1:102" s="107" customFormat="1" x14ac:dyDescent="0.2">
      <c r="A116" s="12" t="s">
        <v>229</v>
      </c>
      <c r="B116" s="14" t="str">
        <f>E125</f>
        <v>landuse3</v>
      </c>
      <c r="C116" s="44">
        <v>0</v>
      </c>
      <c r="D116" s="41">
        <v>0</v>
      </c>
      <c r="E116" s="41">
        <v>0</v>
      </c>
      <c r="F116" s="41">
        <v>0</v>
      </c>
      <c r="G116" s="41">
        <v>0</v>
      </c>
      <c r="H116" s="41">
        <v>0</v>
      </c>
      <c r="I116" s="41">
        <v>0</v>
      </c>
      <c r="J116" s="41">
        <v>0</v>
      </c>
      <c r="K116" s="41">
        <v>0</v>
      </c>
      <c r="L116" s="41">
        <v>0</v>
      </c>
      <c r="M116" s="41">
        <v>0</v>
      </c>
      <c r="N116" s="41">
        <v>0</v>
      </c>
      <c r="O116" s="41">
        <v>0</v>
      </c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  <c r="CH116" s="41"/>
      <c r="CI116" s="41"/>
      <c r="CJ116" s="41"/>
      <c r="CK116" s="41"/>
      <c r="CL116" s="41"/>
      <c r="CM116" s="41"/>
      <c r="CN116" s="41"/>
      <c r="CO116" s="41"/>
      <c r="CP116" s="41"/>
      <c r="CQ116" s="41"/>
      <c r="CR116" s="41"/>
      <c r="CS116" s="41"/>
      <c r="CT116" s="41"/>
      <c r="CU116" s="41"/>
      <c r="CV116" s="41"/>
      <c r="CW116" s="41"/>
      <c r="CX116" s="41"/>
    </row>
    <row r="117" spans="1:102" s="107" customFormat="1" x14ac:dyDescent="0.2">
      <c r="A117" s="12" t="s">
        <v>230</v>
      </c>
      <c r="B117" s="14" t="str">
        <f>F125</f>
        <v>landuse4</v>
      </c>
      <c r="C117" s="44">
        <v>0</v>
      </c>
      <c r="D117" s="41">
        <v>0</v>
      </c>
      <c r="E117" s="41">
        <v>0</v>
      </c>
      <c r="F117" s="41">
        <v>0</v>
      </c>
      <c r="G117" s="41">
        <v>0</v>
      </c>
      <c r="H117" s="41">
        <v>0</v>
      </c>
      <c r="I117" s="41">
        <v>0</v>
      </c>
      <c r="J117" s="41">
        <v>0</v>
      </c>
      <c r="K117" s="41">
        <v>0</v>
      </c>
      <c r="L117" s="41">
        <v>0</v>
      </c>
      <c r="M117" s="41">
        <v>0</v>
      </c>
      <c r="N117" s="41">
        <v>0</v>
      </c>
      <c r="O117" s="41">
        <v>0</v>
      </c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  <c r="CL117" s="41"/>
      <c r="CM117" s="41"/>
      <c r="CN117" s="41"/>
      <c r="CO117" s="41"/>
      <c r="CP117" s="41"/>
      <c r="CQ117" s="41"/>
      <c r="CR117" s="41"/>
      <c r="CS117" s="41"/>
      <c r="CT117" s="41"/>
      <c r="CU117" s="41"/>
      <c r="CV117" s="41"/>
      <c r="CW117" s="41"/>
      <c r="CX117" s="41"/>
    </row>
    <row r="118" spans="1:102" s="107" customFormat="1" x14ac:dyDescent="0.2">
      <c r="A118" s="12" t="s">
        <v>231</v>
      </c>
      <c r="B118" s="14">
        <f>G125</f>
        <v>0</v>
      </c>
      <c r="C118" s="44">
        <v>0</v>
      </c>
      <c r="D118" s="41">
        <v>0</v>
      </c>
      <c r="E118" s="41">
        <v>0</v>
      </c>
      <c r="F118" s="41">
        <v>0</v>
      </c>
      <c r="G118" s="41">
        <v>0</v>
      </c>
      <c r="H118" s="41">
        <v>0</v>
      </c>
      <c r="I118" s="41">
        <v>0</v>
      </c>
      <c r="J118" s="41">
        <v>0</v>
      </c>
      <c r="K118" s="41">
        <v>0</v>
      </c>
      <c r="L118" s="41">
        <v>0</v>
      </c>
      <c r="M118" s="41">
        <v>0</v>
      </c>
      <c r="N118" s="41">
        <v>0</v>
      </c>
      <c r="O118" s="41">
        <v>0</v>
      </c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  <c r="CL118" s="41"/>
      <c r="CM118" s="41"/>
      <c r="CN118" s="41"/>
      <c r="CO118" s="41"/>
      <c r="CP118" s="41"/>
      <c r="CQ118" s="41"/>
      <c r="CR118" s="41"/>
      <c r="CS118" s="41"/>
      <c r="CT118" s="41"/>
      <c r="CU118" s="41"/>
      <c r="CV118" s="41"/>
      <c r="CW118" s="41"/>
      <c r="CX118" s="41"/>
    </row>
    <row r="119" spans="1:102" s="107" customFormat="1" x14ac:dyDescent="0.2">
      <c r="A119" s="12" t="s">
        <v>232</v>
      </c>
      <c r="B119" s="14">
        <f>H125</f>
        <v>0</v>
      </c>
      <c r="C119" s="44">
        <v>0</v>
      </c>
      <c r="D119" s="41">
        <v>0</v>
      </c>
      <c r="E119" s="41">
        <v>0</v>
      </c>
      <c r="F119" s="41">
        <v>0</v>
      </c>
      <c r="G119" s="41">
        <v>0</v>
      </c>
      <c r="H119" s="41">
        <v>0</v>
      </c>
      <c r="I119" s="41">
        <v>0</v>
      </c>
      <c r="J119" s="41">
        <v>0</v>
      </c>
      <c r="K119" s="41">
        <v>0</v>
      </c>
      <c r="L119" s="41">
        <v>0</v>
      </c>
      <c r="M119" s="41">
        <v>0</v>
      </c>
      <c r="N119" s="41">
        <v>0</v>
      </c>
      <c r="O119" s="41">
        <v>0</v>
      </c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  <c r="CH119" s="41"/>
      <c r="CI119" s="41"/>
      <c r="CJ119" s="41"/>
      <c r="CK119" s="41"/>
      <c r="CL119" s="41"/>
      <c r="CM119" s="41"/>
      <c r="CN119" s="41"/>
      <c r="CO119" s="41"/>
      <c r="CP119" s="41"/>
      <c r="CQ119" s="41"/>
      <c r="CR119" s="41"/>
      <c r="CS119" s="41"/>
      <c r="CT119" s="41"/>
      <c r="CU119" s="41"/>
      <c r="CV119" s="41"/>
      <c r="CW119" s="41"/>
      <c r="CX119" s="41"/>
    </row>
    <row r="120" spans="1:102" s="107" customFormat="1" x14ac:dyDescent="0.2">
      <c r="A120" s="12" t="s">
        <v>233</v>
      </c>
      <c r="B120" s="14">
        <f>I125</f>
        <v>0</v>
      </c>
      <c r="C120" s="44">
        <v>0</v>
      </c>
      <c r="D120" s="41">
        <v>0</v>
      </c>
      <c r="E120" s="41">
        <v>0</v>
      </c>
      <c r="F120" s="41">
        <v>0</v>
      </c>
      <c r="G120" s="41">
        <v>0</v>
      </c>
      <c r="H120" s="41">
        <v>0</v>
      </c>
      <c r="I120" s="41">
        <v>0</v>
      </c>
      <c r="J120" s="41">
        <v>0</v>
      </c>
      <c r="K120" s="41">
        <v>0</v>
      </c>
      <c r="L120" s="41">
        <v>0</v>
      </c>
      <c r="M120" s="41">
        <v>0</v>
      </c>
      <c r="N120" s="41">
        <v>0</v>
      </c>
      <c r="O120" s="41">
        <v>0</v>
      </c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  <c r="CL120" s="41"/>
      <c r="CM120" s="41"/>
      <c r="CN120" s="41"/>
      <c r="CO120" s="41"/>
      <c r="CP120" s="41"/>
      <c r="CQ120" s="41"/>
      <c r="CR120" s="41"/>
      <c r="CS120" s="41"/>
      <c r="CT120" s="41"/>
      <c r="CU120" s="41"/>
      <c r="CV120" s="41"/>
      <c r="CW120" s="41"/>
      <c r="CX120" s="41"/>
    </row>
    <row r="121" spans="1:102" s="107" customFormat="1" x14ac:dyDescent="0.2">
      <c r="A121" s="15" t="s">
        <v>234</v>
      </c>
      <c r="B121" s="17">
        <f>J125</f>
        <v>0</v>
      </c>
      <c r="C121" s="45">
        <v>0</v>
      </c>
      <c r="D121" s="43">
        <v>0</v>
      </c>
      <c r="E121" s="43">
        <v>0</v>
      </c>
      <c r="F121" s="43">
        <v>0</v>
      </c>
      <c r="G121" s="43">
        <v>0</v>
      </c>
      <c r="H121" s="43">
        <v>0</v>
      </c>
      <c r="I121" s="43">
        <v>0</v>
      </c>
      <c r="J121" s="43">
        <v>0</v>
      </c>
      <c r="K121" s="45">
        <v>0</v>
      </c>
      <c r="L121" s="43">
        <v>0</v>
      </c>
      <c r="M121" s="43">
        <v>0</v>
      </c>
      <c r="N121" s="43">
        <v>0</v>
      </c>
      <c r="O121" s="43">
        <v>0</v>
      </c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  <c r="BZ121" s="43"/>
      <c r="CA121" s="43"/>
      <c r="CB121" s="43"/>
      <c r="CC121" s="43"/>
      <c r="CD121" s="43"/>
      <c r="CE121" s="43"/>
      <c r="CF121" s="43"/>
      <c r="CG121" s="43"/>
      <c r="CH121" s="43"/>
      <c r="CI121" s="43"/>
      <c r="CJ121" s="43"/>
      <c r="CK121" s="43"/>
      <c r="CL121" s="43"/>
      <c r="CM121" s="43"/>
      <c r="CN121" s="43"/>
      <c r="CO121" s="43"/>
      <c r="CP121" s="43"/>
      <c r="CQ121" s="43"/>
      <c r="CR121" s="43"/>
      <c r="CS121" s="43"/>
      <c r="CT121" s="43"/>
      <c r="CU121" s="43"/>
      <c r="CV121" s="43"/>
      <c r="CW121" s="43"/>
      <c r="CX121" s="43"/>
    </row>
    <row r="122" spans="1:102" s="107" customFormat="1" x14ac:dyDescent="0.2">
      <c r="A122"/>
      <c r="B122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</row>
    <row r="123" spans="1:102" s="107" customFormat="1" x14ac:dyDescent="0.2">
      <c r="A123" s="19" t="s">
        <v>486</v>
      </c>
      <c r="B123"/>
      <c r="C123"/>
      <c r="D123"/>
      <c r="E123"/>
      <c r="F123"/>
      <c r="G123"/>
      <c r="H123"/>
      <c r="I123"/>
      <c r="J123"/>
      <c r="K123" s="53"/>
      <c r="L123" s="53"/>
      <c r="M123" s="53"/>
      <c r="N123" s="53"/>
      <c r="O123" s="53"/>
      <c r="P123" s="53"/>
      <c r="Q123" s="53"/>
    </row>
    <row r="124" spans="1:102" s="107" customFormat="1" x14ac:dyDescent="0.2">
      <c r="A124" s="10" t="s">
        <v>263</v>
      </c>
      <c r="B124" s="16"/>
      <c r="C124" s="30">
        <v>1</v>
      </c>
      <c r="D124" s="30">
        <v>2</v>
      </c>
      <c r="E124" s="30">
        <v>3</v>
      </c>
      <c r="F124" s="30">
        <v>4</v>
      </c>
      <c r="G124" s="30">
        <v>5</v>
      </c>
      <c r="H124" s="30">
        <v>6</v>
      </c>
      <c r="I124" s="30">
        <v>7</v>
      </c>
      <c r="J124" s="30">
        <v>8</v>
      </c>
      <c r="K124" s="53"/>
      <c r="L124" s="53"/>
      <c r="M124" s="53"/>
      <c r="N124" s="53"/>
      <c r="O124" s="53"/>
      <c r="P124" s="53"/>
      <c r="Q124" s="53"/>
    </row>
    <row r="125" spans="1:102" s="107" customFormat="1" x14ac:dyDescent="0.2">
      <c r="A125" s="11" t="s">
        <v>485</v>
      </c>
      <c r="B125" s="14"/>
      <c r="C125" s="46" t="s">
        <v>440</v>
      </c>
      <c r="D125" s="46" t="s">
        <v>441</v>
      </c>
      <c r="E125" s="46" t="s">
        <v>442</v>
      </c>
      <c r="F125" s="46" t="s">
        <v>443</v>
      </c>
      <c r="G125" s="46"/>
      <c r="H125" s="46"/>
      <c r="I125" s="46"/>
      <c r="J125" s="46"/>
      <c r="K125" s="53"/>
      <c r="L125" s="53"/>
      <c r="M125" s="53"/>
      <c r="N125" s="53"/>
      <c r="O125" s="53"/>
      <c r="P125" s="53"/>
      <c r="Q125" s="53"/>
    </row>
    <row r="126" spans="1:102" s="107" customFormat="1" x14ac:dyDescent="0.2">
      <c r="A126" s="12" t="s">
        <v>260</v>
      </c>
      <c r="B126" s="14" t="s">
        <v>183</v>
      </c>
      <c r="C126" s="44">
        <v>0</v>
      </c>
      <c r="D126" s="44">
        <v>0</v>
      </c>
      <c r="E126" s="44">
        <v>0</v>
      </c>
      <c r="F126" s="44">
        <v>0</v>
      </c>
      <c r="G126" s="44">
        <v>0</v>
      </c>
      <c r="H126" s="44">
        <v>0</v>
      </c>
      <c r="I126" s="44">
        <v>0</v>
      </c>
      <c r="J126" s="44">
        <v>0</v>
      </c>
      <c r="K126" s="53"/>
      <c r="L126" s="53"/>
      <c r="M126" s="53"/>
      <c r="N126" s="53"/>
      <c r="O126" s="53"/>
      <c r="P126" s="53"/>
      <c r="Q126" s="53"/>
    </row>
    <row r="127" spans="1:102" s="107" customFormat="1" x14ac:dyDescent="0.2">
      <c r="A127" s="11"/>
      <c r="B127" s="14" t="s">
        <v>184</v>
      </c>
      <c r="C127" s="44">
        <v>0</v>
      </c>
      <c r="D127" s="41">
        <v>0</v>
      </c>
      <c r="E127" s="44">
        <v>0</v>
      </c>
      <c r="F127" s="44">
        <v>0</v>
      </c>
      <c r="G127" s="44">
        <v>0</v>
      </c>
      <c r="H127" s="41">
        <v>0</v>
      </c>
      <c r="I127" s="44">
        <v>0</v>
      </c>
      <c r="J127" s="44">
        <v>0</v>
      </c>
      <c r="K127" s="53"/>
      <c r="L127" s="53"/>
      <c r="M127" s="53"/>
      <c r="N127" s="53"/>
      <c r="O127" s="53"/>
      <c r="P127" s="53"/>
      <c r="Q127" s="53"/>
    </row>
    <row r="128" spans="1:102" s="107" customFormat="1" x14ac:dyDescent="0.2">
      <c r="A128" s="11" t="s">
        <v>261</v>
      </c>
      <c r="B128" s="14" t="s">
        <v>183</v>
      </c>
      <c r="C128" s="44">
        <v>0</v>
      </c>
      <c r="D128" s="41">
        <v>0</v>
      </c>
      <c r="E128" s="41">
        <v>0</v>
      </c>
      <c r="F128" s="41">
        <v>0</v>
      </c>
      <c r="G128" s="41">
        <v>0</v>
      </c>
      <c r="H128" s="41">
        <v>0</v>
      </c>
      <c r="I128" s="41">
        <v>0</v>
      </c>
      <c r="J128" s="41">
        <v>0</v>
      </c>
      <c r="K128" s="53"/>
      <c r="L128" s="53"/>
      <c r="M128" s="53"/>
      <c r="N128" s="53"/>
      <c r="O128" s="53"/>
      <c r="P128" s="53"/>
      <c r="Q128" s="53"/>
    </row>
    <row r="129" spans="1:17" s="107" customFormat="1" x14ac:dyDescent="0.2">
      <c r="A129" s="5"/>
      <c r="B129" s="14" t="s">
        <v>184</v>
      </c>
      <c r="C129" s="44">
        <v>0</v>
      </c>
      <c r="D129" s="41">
        <v>0</v>
      </c>
      <c r="E129" s="41">
        <v>0</v>
      </c>
      <c r="F129" s="41">
        <v>0</v>
      </c>
      <c r="G129" s="41">
        <v>0</v>
      </c>
      <c r="H129" s="41">
        <v>0</v>
      </c>
      <c r="I129" s="41">
        <v>0</v>
      </c>
      <c r="J129" s="41">
        <v>0</v>
      </c>
      <c r="K129" s="53"/>
      <c r="L129" s="53"/>
      <c r="M129" s="53"/>
      <c r="N129" s="53"/>
      <c r="O129" s="53"/>
      <c r="P129" s="53"/>
      <c r="Q129" s="53"/>
    </row>
    <row r="130" spans="1:17" s="107" customFormat="1" x14ac:dyDescent="0.2">
      <c r="A130" s="11" t="s">
        <v>201</v>
      </c>
      <c r="B130" s="14" t="s">
        <v>183</v>
      </c>
      <c r="C130" s="44">
        <v>0</v>
      </c>
      <c r="D130" s="41">
        <v>0</v>
      </c>
      <c r="E130" s="41">
        <v>0</v>
      </c>
      <c r="F130" s="41">
        <v>0</v>
      </c>
      <c r="G130" s="41">
        <v>0</v>
      </c>
      <c r="H130" s="41">
        <v>0</v>
      </c>
      <c r="I130" s="41">
        <v>0</v>
      </c>
      <c r="J130" s="41">
        <v>0</v>
      </c>
      <c r="K130" s="53"/>
      <c r="L130" s="53"/>
      <c r="M130" s="53"/>
      <c r="N130" s="53"/>
      <c r="O130" s="53"/>
      <c r="P130" s="53"/>
      <c r="Q130" s="53"/>
    </row>
    <row r="131" spans="1:17" s="107" customFormat="1" x14ac:dyDescent="0.2">
      <c r="A131" s="11"/>
      <c r="B131" s="14" t="s">
        <v>184</v>
      </c>
      <c r="C131" s="44">
        <v>0</v>
      </c>
      <c r="D131" s="41">
        <v>0</v>
      </c>
      <c r="E131" s="41">
        <v>0</v>
      </c>
      <c r="F131" s="41">
        <v>0</v>
      </c>
      <c r="G131" s="41">
        <v>0</v>
      </c>
      <c r="H131" s="44">
        <v>0</v>
      </c>
      <c r="I131" s="44">
        <v>0</v>
      </c>
      <c r="J131" s="44">
        <v>0</v>
      </c>
      <c r="K131" s="53"/>
      <c r="L131" s="53"/>
      <c r="M131" s="53"/>
      <c r="N131" s="53"/>
      <c r="O131" s="53"/>
      <c r="P131" s="53"/>
      <c r="Q131" s="53"/>
    </row>
    <row r="132" spans="1:17" s="107" customFormat="1" x14ac:dyDescent="0.2">
      <c r="A132" s="11" t="s">
        <v>202</v>
      </c>
      <c r="B132" s="14" t="s">
        <v>183</v>
      </c>
      <c r="C132" s="44">
        <v>0</v>
      </c>
      <c r="D132" s="44">
        <v>0</v>
      </c>
      <c r="E132" s="44">
        <v>0</v>
      </c>
      <c r="F132" s="44">
        <v>0</v>
      </c>
      <c r="G132" s="44">
        <v>0</v>
      </c>
      <c r="H132" s="44">
        <v>0</v>
      </c>
      <c r="I132" s="44">
        <v>0</v>
      </c>
      <c r="J132" s="44">
        <v>0</v>
      </c>
      <c r="K132" s="53"/>
      <c r="L132" s="53"/>
      <c r="M132" s="53"/>
      <c r="N132" s="53"/>
      <c r="O132" s="53"/>
      <c r="P132" s="53"/>
      <c r="Q132" s="53"/>
    </row>
    <row r="133" spans="1:17" s="107" customFormat="1" x14ac:dyDescent="0.2">
      <c r="A133" s="11"/>
      <c r="B133" s="14" t="s">
        <v>184</v>
      </c>
      <c r="C133" s="44">
        <v>0</v>
      </c>
      <c r="D133" s="44">
        <v>0</v>
      </c>
      <c r="E133" s="44">
        <v>0</v>
      </c>
      <c r="F133" s="44">
        <v>0</v>
      </c>
      <c r="G133" s="44">
        <v>0</v>
      </c>
      <c r="H133" s="44">
        <v>0</v>
      </c>
      <c r="I133" s="44">
        <v>0</v>
      </c>
      <c r="J133" s="44">
        <v>0</v>
      </c>
      <c r="K133" s="53"/>
      <c r="L133" s="53"/>
      <c r="M133" s="53"/>
      <c r="N133" s="53"/>
      <c r="O133" s="53"/>
      <c r="P133" s="53"/>
      <c r="Q133" s="53"/>
    </row>
    <row r="134" spans="1:17" s="107" customFormat="1" x14ac:dyDescent="0.2">
      <c r="A134" s="11" t="s">
        <v>225</v>
      </c>
      <c r="B134" s="14" t="s">
        <v>183</v>
      </c>
      <c r="C134" s="44">
        <v>0</v>
      </c>
      <c r="D134" s="44">
        <v>0</v>
      </c>
      <c r="E134" s="44">
        <v>0</v>
      </c>
      <c r="F134" s="44">
        <v>0</v>
      </c>
      <c r="G134" s="44">
        <v>0</v>
      </c>
      <c r="H134" s="44">
        <v>0</v>
      </c>
      <c r="I134" s="44">
        <v>0</v>
      </c>
      <c r="J134" s="44">
        <v>0</v>
      </c>
      <c r="K134" s="53"/>
      <c r="L134" s="53"/>
      <c r="M134" s="53"/>
      <c r="N134" s="53"/>
      <c r="O134" s="53"/>
      <c r="P134" s="53"/>
      <c r="Q134" s="53"/>
    </row>
    <row r="135" spans="1:17" s="107" customFormat="1" x14ac:dyDescent="0.2">
      <c r="A135" s="11"/>
      <c r="B135" s="14" t="s">
        <v>184</v>
      </c>
      <c r="C135" s="44">
        <v>0</v>
      </c>
      <c r="D135" s="44">
        <v>0</v>
      </c>
      <c r="E135" s="44">
        <v>0</v>
      </c>
      <c r="F135" s="44">
        <v>0</v>
      </c>
      <c r="G135" s="44">
        <v>0</v>
      </c>
      <c r="H135" s="44">
        <v>0</v>
      </c>
      <c r="I135" s="44">
        <v>0</v>
      </c>
      <c r="J135" s="44">
        <v>0</v>
      </c>
      <c r="K135" s="53"/>
      <c r="L135" s="53"/>
      <c r="M135" s="53"/>
      <c r="N135" s="53"/>
      <c r="O135" s="53"/>
      <c r="P135" s="53"/>
      <c r="Q135" s="53"/>
    </row>
    <row r="136" spans="1:17" s="107" customFormat="1" x14ac:dyDescent="0.2">
      <c r="A136" s="11" t="s">
        <v>226</v>
      </c>
      <c r="B136" s="14" t="s">
        <v>183</v>
      </c>
      <c r="C136" s="44">
        <v>0</v>
      </c>
      <c r="D136" s="44">
        <v>0</v>
      </c>
      <c r="E136" s="44">
        <v>0</v>
      </c>
      <c r="F136" s="44">
        <v>0</v>
      </c>
      <c r="G136" s="44">
        <v>0</v>
      </c>
      <c r="H136" s="44">
        <v>0</v>
      </c>
      <c r="I136" s="44">
        <v>0</v>
      </c>
      <c r="J136" s="44">
        <v>0</v>
      </c>
      <c r="K136" s="53"/>
      <c r="L136" s="53"/>
      <c r="M136" s="53"/>
      <c r="N136" s="53"/>
      <c r="O136" s="53"/>
      <c r="P136" s="53"/>
      <c r="Q136" s="53"/>
    </row>
    <row r="137" spans="1:17" s="107" customFormat="1" x14ac:dyDescent="0.2">
      <c r="A137" s="13"/>
      <c r="B137" s="17" t="s">
        <v>184</v>
      </c>
      <c r="C137" s="45">
        <v>0</v>
      </c>
      <c r="D137" s="45">
        <v>0</v>
      </c>
      <c r="E137" s="45">
        <v>0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53"/>
      <c r="L137" s="53"/>
      <c r="M137" s="53"/>
      <c r="N137" s="53"/>
      <c r="O137" s="53"/>
      <c r="P137" s="53"/>
      <c r="Q137" s="53"/>
    </row>
    <row r="138" spans="1:17" s="107" customFormat="1" x14ac:dyDescent="0.2">
      <c r="A138"/>
      <c r="B138" s="5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</row>
    <row r="139" spans="1:17" s="107" customFormat="1" x14ac:dyDescent="0.2">
      <c r="A139" s="9" t="s">
        <v>273</v>
      </c>
      <c r="B139" s="5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</row>
    <row r="140" spans="1:17" s="107" customFormat="1" x14ac:dyDescent="0.2">
      <c r="A140" s="64" t="s">
        <v>125</v>
      </c>
      <c r="B140" s="3"/>
      <c r="C140" s="66"/>
      <c r="D140" s="65"/>
      <c r="E140" s="65"/>
      <c r="F140" s="65"/>
      <c r="G140" s="65"/>
      <c r="H140" s="65"/>
      <c r="I140" s="65"/>
      <c r="J140" s="65"/>
      <c r="K140" s="65"/>
      <c r="L140" s="65"/>
      <c r="M140" s="53"/>
      <c r="N140" s="53"/>
      <c r="O140" s="53"/>
      <c r="P140" s="53"/>
      <c r="Q140" s="53"/>
    </row>
    <row r="141" spans="1:17" s="107" customFormat="1" x14ac:dyDescent="0.2">
      <c r="A141" s="11" t="s">
        <v>266</v>
      </c>
      <c r="B141" s="5"/>
      <c r="C141" s="129"/>
      <c r="D141" s="130"/>
      <c r="E141" s="130"/>
      <c r="F141" s="130"/>
      <c r="G141" s="130"/>
      <c r="H141" s="130"/>
      <c r="I141" s="130"/>
      <c r="J141" s="130"/>
      <c r="K141" s="130"/>
      <c r="L141" s="130"/>
      <c r="M141" s="53"/>
      <c r="N141" s="53"/>
      <c r="O141" s="53"/>
      <c r="P141" s="53"/>
      <c r="Q141" s="53"/>
    </row>
    <row r="142" spans="1:17" s="107" customFormat="1" x14ac:dyDescent="0.2">
      <c r="A142" s="11" t="s">
        <v>264</v>
      </c>
      <c r="B142" s="5"/>
      <c r="C142" s="61"/>
      <c r="D142" s="97"/>
      <c r="E142" s="97"/>
      <c r="F142" s="97"/>
      <c r="G142" s="97"/>
      <c r="H142" s="97"/>
      <c r="I142" s="97"/>
      <c r="J142" s="97"/>
      <c r="K142" s="97"/>
      <c r="L142" s="97"/>
      <c r="M142" s="53"/>
      <c r="N142" s="53"/>
      <c r="O142" s="53"/>
      <c r="P142" s="53"/>
      <c r="Q142" s="53"/>
    </row>
    <row r="143" spans="1:17" s="107" customFormat="1" x14ac:dyDescent="0.2">
      <c r="A143" s="11" t="s">
        <v>265</v>
      </c>
      <c r="B143" s="5"/>
      <c r="C143" s="63"/>
      <c r="D143" s="99"/>
      <c r="E143" s="99"/>
      <c r="F143" s="99"/>
      <c r="G143" s="99"/>
      <c r="H143" s="99"/>
      <c r="I143" s="99"/>
      <c r="J143" s="99"/>
      <c r="K143" s="99"/>
      <c r="L143" s="99"/>
      <c r="M143" s="53"/>
      <c r="N143" s="53"/>
      <c r="O143" s="53"/>
      <c r="P143" s="53"/>
      <c r="Q143" s="53"/>
    </row>
    <row r="144" spans="1:17" s="107" customFormat="1" ht="14.25" x14ac:dyDescent="0.2">
      <c r="A144" s="12" t="s">
        <v>414</v>
      </c>
      <c r="B144" s="14" t="s">
        <v>183</v>
      </c>
      <c r="C144" s="44"/>
      <c r="D144" s="41"/>
      <c r="E144" s="41"/>
      <c r="F144" s="41"/>
      <c r="G144" s="41"/>
      <c r="H144" s="41"/>
      <c r="I144" s="41"/>
      <c r="J144" s="41"/>
      <c r="K144" s="41"/>
      <c r="L144" s="41"/>
      <c r="M144" s="53"/>
      <c r="N144" s="53"/>
      <c r="O144" s="53"/>
      <c r="P144" s="53"/>
      <c r="Q144" s="53"/>
    </row>
    <row r="145" spans="1:17" s="107" customFormat="1" x14ac:dyDescent="0.2">
      <c r="A145" s="11"/>
      <c r="B145" s="14" t="s">
        <v>184</v>
      </c>
      <c r="C145" s="44"/>
      <c r="D145" s="41"/>
      <c r="E145" s="41"/>
      <c r="F145" s="41"/>
      <c r="G145" s="41"/>
      <c r="H145" s="41"/>
      <c r="I145" s="41"/>
      <c r="J145" s="41"/>
      <c r="K145" s="41"/>
      <c r="L145" s="41"/>
      <c r="M145" s="53"/>
      <c r="N145" s="53"/>
      <c r="O145" s="53"/>
      <c r="P145" s="53"/>
      <c r="Q145" s="53"/>
    </row>
    <row r="146" spans="1:17" s="107" customFormat="1" ht="14.25" x14ac:dyDescent="0.2">
      <c r="A146" s="12" t="s">
        <v>415</v>
      </c>
      <c r="B146" s="14" t="s">
        <v>183</v>
      </c>
      <c r="C146" s="44"/>
      <c r="D146" s="41"/>
      <c r="E146" s="41"/>
      <c r="F146" s="41"/>
      <c r="G146" s="41"/>
      <c r="H146" s="41"/>
      <c r="I146" s="41"/>
      <c r="J146" s="41"/>
      <c r="K146" s="41"/>
      <c r="L146" s="41"/>
      <c r="M146" s="53"/>
      <c r="N146" s="53"/>
      <c r="O146" s="53"/>
      <c r="P146" s="53"/>
      <c r="Q146" s="53"/>
    </row>
    <row r="147" spans="1:17" s="107" customFormat="1" x14ac:dyDescent="0.2">
      <c r="A147" s="13"/>
      <c r="B147" s="17" t="s">
        <v>184</v>
      </c>
      <c r="C147" s="45"/>
      <c r="D147" s="43"/>
      <c r="E147" s="43"/>
      <c r="F147" s="43"/>
      <c r="G147" s="43"/>
      <c r="H147" s="43"/>
      <c r="I147" s="43"/>
      <c r="J147" s="43"/>
      <c r="K147" s="43"/>
      <c r="L147" s="43"/>
      <c r="M147" s="53"/>
      <c r="N147" s="53"/>
      <c r="O147" s="53"/>
      <c r="P147" s="53"/>
      <c r="Q147" s="53"/>
    </row>
    <row r="148" spans="1:17" x14ac:dyDescent="0.2">
      <c r="M148" s="53"/>
      <c r="N148" s="53"/>
      <c r="O148" s="53"/>
      <c r="P148" s="53"/>
      <c r="Q148" s="53"/>
    </row>
    <row r="149" spans="1:17" x14ac:dyDescent="0.2">
      <c r="A149" s="19" t="s">
        <v>422</v>
      </c>
      <c r="C149" s="145"/>
      <c r="D149" s="145"/>
      <c r="E149" s="74"/>
      <c r="F149" s="145"/>
      <c r="G149" s="145"/>
    </row>
    <row r="150" spans="1:17" x14ac:dyDescent="0.2">
      <c r="A150" s="10" t="s">
        <v>215</v>
      </c>
      <c r="B150" s="3"/>
      <c r="C150" s="108">
        <v>1</v>
      </c>
      <c r="D150" s="55">
        <v>0.69999998807907104</v>
      </c>
    </row>
    <row r="151" spans="1:17" x14ac:dyDescent="0.2">
      <c r="A151" s="11" t="s">
        <v>272</v>
      </c>
      <c r="B151" s="5"/>
      <c r="C151" s="109">
        <v>1</v>
      </c>
      <c r="D151" s="48">
        <v>0.44999998807907104</v>
      </c>
    </row>
    <row r="152" spans="1:17" x14ac:dyDescent="0.2">
      <c r="A152" s="11" t="s">
        <v>271</v>
      </c>
      <c r="B152" s="5"/>
      <c r="C152" s="109">
        <v>1</v>
      </c>
      <c r="D152" s="48">
        <v>0.55000001192092896</v>
      </c>
    </row>
    <row r="153" spans="1:17" x14ac:dyDescent="0.2">
      <c r="A153" s="11" t="s">
        <v>238</v>
      </c>
      <c r="B153" s="5"/>
      <c r="C153" s="109">
        <v>1</v>
      </c>
      <c r="D153" s="48">
        <v>0.25999999046325684</v>
      </c>
    </row>
    <row r="154" spans="1:17" x14ac:dyDescent="0.2">
      <c r="A154" s="11" t="s">
        <v>239</v>
      </c>
      <c r="B154" s="5"/>
      <c r="C154" s="109">
        <v>1</v>
      </c>
      <c r="D154" s="48">
        <v>0.10000000149011612</v>
      </c>
    </row>
    <row r="155" spans="1:17" x14ac:dyDescent="0.2">
      <c r="A155" s="11" t="s">
        <v>240</v>
      </c>
      <c r="B155" s="5"/>
      <c r="C155" s="109">
        <v>1</v>
      </c>
      <c r="D155" s="48">
        <v>0.11999999731779099</v>
      </c>
    </row>
    <row r="156" spans="1:17" x14ac:dyDescent="0.2">
      <c r="A156" s="11" t="s">
        <v>241</v>
      </c>
      <c r="B156" s="5"/>
      <c r="C156" s="109">
        <v>1</v>
      </c>
      <c r="D156" s="48">
        <v>0.15000000596046448</v>
      </c>
    </row>
    <row r="157" spans="1:17" x14ac:dyDescent="0.2">
      <c r="A157" s="11" t="s">
        <v>254</v>
      </c>
      <c r="B157" s="5"/>
      <c r="C157" s="109">
        <v>1</v>
      </c>
      <c r="D157" s="48">
        <v>0.15000000596046448</v>
      </c>
    </row>
    <row r="158" spans="1:17" x14ac:dyDescent="0.2">
      <c r="A158" s="11" t="s">
        <v>255</v>
      </c>
      <c r="B158" s="5"/>
      <c r="C158" s="109">
        <v>1</v>
      </c>
      <c r="D158" s="48">
        <v>0.2199999988079071</v>
      </c>
    </row>
    <row r="159" spans="1:17" x14ac:dyDescent="0.2">
      <c r="A159" s="11" t="s">
        <v>256</v>
      </c>
      <c r="B159" s="5"/>
      <c r="C159" s="109">
        <v>2.500000037252903E-2</v>
      </c>
      <c r="D159" s="48">
        <v>0</v>
      </c>
    </row>
    <row r="160" spans="1:17" x14ac:dyDescent="0.2">
      <c r="A160" s="12" t="s">
        <v>258</v>
      </c>
      <c r="B160" s="5"/>
      <c r="C160" s="109">
        <v>4</v>
      </c>
      <c r="D160" s="48">
        <v>0</v>
      </c>
    </row>
    <row r="161" spans="1:5" x14ac:dyDescent="0.2">
      <c r="A161" s="12" t="s">
        <v>259</v>
      </c>
      <c r="B161" s="5"/>
      <c r="C161" s="109">
        <v>1</v>
      </c>
      <c r="D161" s="48">
        <v>0</v>
      </c>
    </row>
    <row r="162" spans="1:5" x14ac:dyDescent="0.2">
      <c r="A162" s="11" t="s">
        <v>257</v>
      </c>
      <c r="B162" s="5"/>
      <c r="C162" s="109">
        <v>0.62000000476837158</v>
      </c>
      <c r="D162" s="48">
        <v>0</v>
      </c>
    </row>
    <row r="163" spans="1:5" x14ac:dyDescent="0.2">
      <c r="A163" s="11" t="s">
        <v>101</v>
      </c>
      <c r="B163" s="5"/>
      <c r="C163" s="109">
        <v>0.33000001311302185</v>
      </c>
      <c r="D163" s="48">
        <v>0</v>
      </c>
    </row>
    <row r="164" spans="1:5" x14ac:dyDescent="0.2">
      <c r="A164" s="12" t="s">
        <v>103</v>
      </c>
      <c r="B164" s="5"/>
      <c r="C164" s="109">
        <v>1.9299999475479126</v>
      </c>
      <c r="D164" s="48">
        <v>0</v>
      </c>
    </row>
    <row r="165" spans="1:5" x14ac:dyDescent="0.2">
      <c r="A165" s="132" t="s">
        <v>102</v>
      </c>
      <c r="B165" s="5"/>
      <c r="C165" s="109">
        <v>0.5899999737739563</v>
      </c>
      <c r="D165" s="48">
        <v>0</v>
      </c>
    </row>
    <row r="166" spans="1:5" x14ac:dyDescent="0.2">
      <c r="A166" s="131" t="s">
        <v>104</v>
      </c>
      <c r="B166" s="8"/>
      <c r="C166" s="110">
        <v>0.79000002145767212</v>
      </c>
      <c r="D166" s="57">
        <v>0</v>
      </c>
    </row>
    <row r="167" spans="1:5" x14ac:dyDescent="0.2">
      <c r="A167" s="5"/>
      <c r="B167" s="5"/>
      <c r="C167" s="96"/>
      <c r="D167" s="96"/>
    </row>
    <row r="168" spans="1:5" x14ac:dyDescent="0.2">
      <c r="A168" s="9" t="s">
        <v>126</v>
      </c>
      <c r="E168" s="73"/>
    </row>
    <row r="169" spans="1:5" x14ac:dyDescent="0.2">
      <c r="A169" s="144" t="s">
        <v>269</v>
      </c>
      <c r="B169" s="124"/>
      <c r="C169" s="46">
        <v>0</v>
      </c>
    </row>
    <row r="170" spans="1:5" x14ac:dyDescent="0.2">
      <c r="A170" s="12" t="s">
        <v>416</v>
      </c>
      <c r="B170" s="123"/>
      <c r="C170" s="47">
        <v>1</v>
      </c>
    </row>
    <row r="171" spans="1:5" x14ac:dyDescent="0.2">
      <c r="A171" s="12" t="s">
        <v>417</v>
      </c>
      <c r="B171" s="123"/>
      <c r="C171" s="47">
        <v>1</v>
      </c>
    </row>
    <row r="172" spans="1:5" x14ac:dyDescent="0.2">
      <c r="A172" s="12" t="s">
        <v>216</v>
      </c>
      <c r="B172" s="123"/>
      <c r="C172" s="47">
        <v>1</v>
      </c>
    </row>
    <row r="173" spans="1:5" x14ac:dyDescent="0.2">
      <c r="A173" s="12" t="s">
        <v>427</v>
      </c>
      <c r="B173" s="123"/>
      <c r="C173" s="47">
        <v>1</v>
      </c>
    </row>
    <row r="174" spans="1:5" x14ac:dyDescent="0.2">
      <c r="A174" s="12" t="s">
        <v>426</v>
      </c>
      <c r="B174" s="123"/>
      <c r="C174" s="47">
        <v>1</v>
      </c>
    </row>
    <row r="175" spans="1:5" x14ac:dyDescent="0.2">
      <c r="A175" s="12" t="s">
        <v>428</v>
      </c>
      <c r="B175" s="123"/>
      <c r="C175" s="47">
        <v>1</v>
      </c>
    </row>
    <row r="176" spans="1:5" x14ac:dyDescent="0.2">
      <c r="A176" s="12" t="s">
        <v>429</v>
      </c>
      <c r="B176" s="123"/>
      <c r="C176" s="47">
        <v>1</v>
      </c>
    </row>
    <row r="177" spans="1:3" x14ac:dyDescent="0.2">
      <c r="A177" s="12" t="s">
        <v>418</v>
      </c>
      <c r="B177" s="123"/>
      <c r="C177" s="47">
        <v>1</v>
      </c>
    </row>
    <row r="178" spans="1:3" x14ac:dyDescent="0.2">
      <c r="A178" s="12" t="s">
        <v>419</v>
      </c>
      <c r="B178" s="123"/>
      <c r="C178" s="47">
        <v>1</v>
      </c>
    </row>
    <row r="179" spans="1:3" x14ac:dyDescent="0.2">
      <c r="A179" s="12" t="s">
        <v>420</v>
      </c>
      <c r="B179" s="123"/>
      <c r="C179" s="47">
        <v>1</v>
      </c>
    </row>
    <row r="180" spans="1:3" x14ac:dyDescent="0.2">
      <c r="A180" s="15" t="s">
        <v>421</v>
      </c>
      <c r="B180" s="125"/>
      <c r="C180" s="137">
        <v>2</v>
      </c>
    </row>
    <row r="182" spans="1:3" x14ac:dyDescent="0.2">
      <c r="A182" s="9" t="s">
        <v>100</v>
      </c>
    </row>
  </sheetData>
  <phoneticPr fontId="0" type="noConversion"/>
  <printOptions horizontalCentered="1" verticalCentered="1"/>
  <pageMargins left="0.25" right="0.25" top="0.5" bottom="0.5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334E-9602-4C5E-95A6-F60129E2BC45}">
  <sheetPr codeName="Sheet22"/>
  <dimension ref="A1:G12"/>
  <sheetViews>
    <sheetView showGridLines="0" workbookViewId="0"/>
  </sheetViews>
  <sheetFormatPr defaultRowHeight="12.75" x14ac:dyDescent="0.2"/>
  <cols>
    <col min="3" max="3" width="23.140625" customWidth="1"/>
  </cols>
  <sheetData>
    <row r="1" spans="1:7" x14ac:dyDescent="0.2">
      <c r="A1" s="9" t="s">
        <v>211</v>
      </c>
      <c r="B1" s="9"/>
      <c r="C1" s="9"/>
      <c r="D1" s="9"/>
      <c r="E1" s="9"/>
      <c r="F1" s="9"/>
      <c r="G1" s="9"/>
    </row>
    <row r="2" spans="1:7" x14ac:dyDescent="0.2">
      <c r="A2" s="74" t="s">
        <v>251</v>
      </c>
      <c r="B2" s="74" t="s">
        <v>433</v>
      </c>
      <c r="C2" s="74" t="s">
        <v>109</v>
      </c>
      <c r="D2" s="75" t="s">
        <v>153</v>
      </c>
      <c r="E2" s="75" t="s">
        <v>178</v>
      </c>
      <c r="F2" s="75" t="s">
        <v>180</v>
      </c>
      <c r="G2" s="75" t="s">
        <v>110</v>
      </c>
    </row>
    <row r="4" spans="1:7" x14ac:dyDescent="0.2">
      <c r="A4" t="s">
        <v>115</v>
      </c>
      <c r="E4" s="83">
        <v>1</v>
      </c>
      <c r="F4" s="83">
        <v>1</v>
      </c>
      <c r="G4" s="83">
        <v>1</v>
      </c>
    </row>
    <row r="5" spans="1:7" x14ac:dyDescent="0.2">
      <c r="A5" t="s">
        <v>116</v>
      </c>
      <c r="E5" s="83">
        <v>0.44999998807907104</v>
      </c>
      <c r="F5" s="83">
        <v>0.55000001192092896</v>
      </c>
      <c r="G5" s="83">
        <v>0.25999999046325684</v>
      </c>
    </row>
    <row r="6" spans="1:7" x14ac:dyDescent="0.2">
      <c r="A6">
        <v>1</v>
      </c>
      <c r="B6">
        <v>1</v>
      </c>
      <c r="C6" t="s">
        <v>118</v>
      </c>
      <c r="D6" s="83">
        <v>1</v>
      </c>
      <c r="E6" s="83">
        <v>1</v>
      </c>
      <c r="F6" s="83">
        <v>1</v>
      </c>
      <c r="G6" s="83">
        <v>1</v>
      </c>
    </row>
    <row r="7" spans="1:7" x14ac:dyDescent="0.2">
      <c r="A7">
        <v>2</v>
      </c>
      <c r="B7">
        <v>1</v>
      </c>
      <c r="C7" t="s">
        <v>119</v>
      </c>
      <c r="D7" s="83">
        <v>1</v>
      </c>
      <c r="E7" s="83">
        <v>1</v>
      </c>
      <c r="F7" s="83">
        <v>1</v>
      </c>
      <c r="G7" s="83">
        <v>1</v>
      </c>
    </row>
    <row r="8" spans="1:7" x14ac:dyDescent="0.2">
      <c r="A8">
        <v>3</v>
      </c>
      <c r="B8">
        <v>1</v>
      </c>
      <c r="C8" t="s">
        <v>120</v>
      </c>
      <c r="D8" s="83">
        <v>1</v>
      </c>
      <c r="E8" s="83">
        <v>1</v>
      </c>
      <c r="F8" s="83">
        <v>1</v>
      </c>
      <c r="G8" s="83">
        <v>1</v>
      </c>
    </row>
    <row r="9" spans="1:7" x14ac:dyDescent="0.2">
      <c r="A9">
        <v>4</v>
      </c>
      <c r="B9">
        <v>1</v>
      </c>
      <c r="C9" t="s">
        <v>121</v>
      </c>
      <c r="D9" s="83">
        <v>1</v>
      </c>
      <c r="E9" s="83">
        <v>1</v>
      </c>
      <c r="F9" s="83">
        <v>1</v>
      </c>
      <c r="G9" s="83">
        <v>1</v>
      </c>
    </row>
    <row r="10" spans="1:7" x14ac:dyDescent="0.2">
      <c r="A10">
        <v>5</v>
      </c>
      <c r="B10">
        <v>1</v>
      </c>
      <c r="C10" t="s">
        <v>122</v>
      </c>
      <c r="D10" s="83">
        <v>1</v>
      </c>
      <c r="E10" s="83">
        <v>1</v>
      </c>
      <c r="F10" s="83">
        <v>1</v>
      </c>
      <c r="G10" s="83">
        <v>1</v>
      </c>
    </row>
    <row r="11" spans="1:7" x14ac:dyDescent="0.2">
      <c r="A11">
        <v>6</v>
      </c>
      <c r="B11">
        <v>1</v>
      </c>
      <c r="C11" t="s">
        <v>123</v>
      </c>
      <c r="D11" s="83">
        <v>1</v>
      </c>
      <c r="E11" s="83">
        <v>1</v>
      </c>
      <c r="F11" s="83">
        <v>1</v>
      </c>
      <c r="G11" s="83">
        <v>1</v>
      </c>
    </row>
    <row r="12" spans="1:7" x14ac:dyDescent="0.2">
      <c r="A12">
        <v>7</v>
      </c>
      <c r="B12">
        <v>1</v>
      </c>
      <c r="C12" t="s">
        <v>124</v>
      </c>
      <c r="D12" s="83">
        <v>1</v>
      </c>
      <c r="E12" s="83">
        <v>1</v>
      </c>
      <c r="F12" s="83">
        <v>1</v>
      </c>
      <c r="G12" s="83">
        <v>1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529B7-5304-49B0-98EA-1D14653C099B}">
  <sheetPr codeName="Sheet23"/>
  <dimension ref="A1:I15"/>
  <sheetViews>
    <sheetView showGridLines="0" workbookViewId="0"/>
  </sheetViews>
  <sheetFormatPr defaultRowHeight="14.25" customHeight="1" x14ac:dyDescent="0.2"/>
  <cols>
    <col min="2" max="2" width="20.7109375" customWidth="1"/>
    <col min="3" max="3" width="11.28515625" bestFit="1" customWidth="1"/>
    <col min="6" max="6" width="9.5703125" bestFit="1" customWidth="1"/>
  </cols>
  <sheetData>
    <row r="1" spans="1:9" ht="14.25" customHeight="1" x14ac:dyDescent="0.2">
      <c r="A1" s="9" t="s">
        <v>136</v>
      </c>
      <c r="B1" s="9"/>
      <c r="C1" s="9"/>
      <c r="D1" s="9"/>
      <c r="E1" s="9" t="s">
        <v>178</v>
      </c>
      <c r="F1" s="9"/>
      <c r="G1" s="9"/>
      <c r="H1" s="9"/>
      <c r="I1" s="9"/>
    </row>
    <row r="2" spans="1:9" ht="14.25" customHeight="1" x14ac:dyDescent="0.2">
      <c r="A2" s="9"/>
      <c r="B2" s="9"/>
      <c r="C2" s="19" t="s">
        <v>141</v>
      </c>
      <c r="D2" s="9"/>
      <c r="E2" s="9"/>
      <c r="F2" s="9" t="s">
        <v>140</v>
      </c>
      <c r="G2" s="9"/>
      <c r="H2" s="9"/>
      <c r="I2" s="9"/>
    </row>
    <row r="3" spans="1:9" ht="14.25" customHeight="1" x14ac:dyDescent="0.2">
      <c r="A3" s="74" t="s">
        <v>251</v>
      </c>
      <c r="B3" s="74" t="s">
        <v>109</v>
      </c>
      <c r="C3" s="75" t="s">
        <v>146</v>
      </c>
      <c r="D3" s="75" t="s">
        <v>137</v>
      </c>
      <c r="E3" s="75" t="s">
        <v>138</v>
      </c>
      <c r="F3" s="75" t="s">
        <v>146</v>
      </c>
      <c r="G3" s="75" t="s">
        <v>253</v>
      </c>
      <c r="H3" s="75" t="s">
        <v>138</v>
      </c>
      <c r="I3" s="74" t="s">
        <v>139</v>
      </c>
    </row>
    <row r="4" spans="1:9" ht="14.25" customHeight="1" x14ac:dyDescent="0.2">
      <c r="A4" s="2">
        <v>1</v>
      </c>
      <c r="B4" t="s">
        <v>65</v>
      </c>
      <c r="C4" s="85">
        <v>1000.5404052734375</v>
      </c>
      <c r="D4" s="85">
        <v>2.3365020751953125E-5</v>
      </c>
      <c r="E4" s="84">
        <v>2.3352400901899273E-8</v>
      </c>
      <c r="F4" s="85">
        <v>54624.5703125</v>
      </c>
      <c r="G4" s="85">
        <v>5471.33984375</v>
      </c>
      <c r="H4" s="84">
        <v>0.10016261786222458</v>
      </c>
      <c r="I4" s="85">
        <v>995.73358154296875</v>
      </c>
    </row>
    <row r="5" spans="1:9" ht="14.25" customHeight="1" x14ac:dyDescent="0.2">
      <c r="A5" s="2">
        <v>2</v>
      </c>
      <c r="B5" t="s">
        <v>66</v>
      </c>
      <c r="C5" s="85">
        <v>1124.9442138671875</v>
      </c>
      <c r="D5" s="85">
        <v>5.245208740234375E-6</v>
      </c>
      <c r="E5" s="84">
        <v>4.6626391636550579E-9</v>
      </c>
      <c r="F5" s="85">
        <v>55717.35546875</v>
      </c>
      <c r="G5" s="85">
        <v>7752.55859375</v>
      </c>
      <c r="H5" s="84">
        <v>0.13914081454277039</v>
      </c>
      <c r="I5" s="85">
        <v>1117.7340087890625</v>
      </c>
    </row>
    <row r="6" spans="1:9" ht="14.25" customHeight="1" x14ac:dyDescent="0.2">
      <c r="A6" s="2">
        <v>3</v>
      </c>
      <c r="B6" t="s">
        <v>67</v>
      </c>
      <c r="C6" s="85">
        <v>1671.5986328125</v>
      </c>
      <c r="D6" s="85">
        <v>3.814697265625E-5</v>
      </c>
      <c r="E6" s="84">
        <v>2.2820653811095326E-8</v>
      </c>
      <c r="F6" s="85">
        <v>85227.8125</v>
      </c>
      <c r="G6" s="85">
        <v>9609.265625</v>
      </c>
      <c r="H6" s="84">
        <v>0.11274800449609756</v>
      </c>
      <c r="I6" s="85">
        <v>1663.90771484375</v>
      </c>
    </row>
    <row r="7" spans="1:9" ht="14.25" customHeight="1" x14ac:dyDescent="0.2">
      <c r="A7" s="2">
        <v>4</v>
      </c>
      <c r="B7" t="s">
        <v>68</v>
      </c>
      <c r="C7" s="85">
        <v>1739.917724609375</v>
      </c>
      <c r="D7" s="85">
        <v>-8.7738037109375E-5</v>
      </c>
      <c r="E7" s="84">
        <v>-5.0426542941295338E-8</v>
      </c>
      <c r="F7" s="85">
        <v>76724.7265625</v>
      </c>
      <c r="G7" s="85">
        <v>9425.9765625</v>
      </c>
      <c r="H7" s="84">
        <v>0.12285447865724564</v>
      </c>
      <c r="I7" s="85">
        <v>1731.3851318359375</v>
      </c>
    </row>
    <row r="8" spans="1:9" ht="14.25" customHeight="1" x14ac:dyDescent="0.2">
      <c r="A8" s="2">
        <v>5</v>
      </c>
      <c r="B8" t="s">
        <v>69</v>
      </c>
      <c r="C8" s="85">
        <v>1745.2843017578125</v>
      </c>
      <c r="D8" s="85">
        <v>2.765655517578125E-5</v>
      </c>
      <c r="E8" s="84">
        <v>1.584644770957766E-8</v>
      </c>
      <c r="F8" s="85">
        <v>66910.9765625</v>
      </c>
      <c r="G8" s="85">
        <v>10020.1015625</v>
      </c>
      <c r="H8" s="84">
        <v>0.14975273609161377</v>
      </c>
      <c r="I8" s="85">
        <v>1735.0692138671875</v>
      </c>
    </row>
    <row r="9" spans="1:9" ht="14.25" customHeight="1" x14ac:dyDescent="0.2">
      <c r="A9" s="2">
        <v>6</v>
      </c>
      <c r="B9" t="s">
        <v>70</v>
      </c>
      <c r="C9" s="85">
        <v>1815.1678466796875</v>
      </c>
      <c r="D9" s="85">
        <v>5.7220458984375E-5</v>
      </c>
      <c r="E9" s="84">
        <v>3.152350913637747E-8</v>
      </c>
      <c r="F9" s="85">
        <v>59407.09375</v>
      </c>
      <c r="G9" s="85">
        <v>9547.859375</v>
      </c>
      <c r="H9" s="84">
        <v>0.16071918606758118</v>
      </c>
      <c r="I9" s="85">
        <v>1803.6302490234375</v>
      </c>
    </row>
    <row r="10" spans="1:9" ht="14.25" customHeight="1" x14ac:dyDescent="0.2">
      <c r="A10" s="2">
        <v>7</v>
      </c>
      <c r="B10" t="s">
        <v>71</v>
      </c>
      <c r="C10" s="85">
        <v>1819.98291015625</v>
      </c>
      <c r="D10" s="85">
        <v>-3.147125244140625E-5</v>
      </c>
      <c r="E10" s="84">
        <v>-1.729205933997946E-8</v>
      </c>
      <c r="F10" s="85">
        <v>50879.68359375</v>
      </c>
      <c r="G10" s="85">
        <v>7922.890625</v>
      </c>
      <c r="H10" s="84">
        <v>0.15571816265583038</v>
      </c>
      <c r="I10" s="85">
        <v>1807.9647216796875</v>
      </c>
    </row>
    <row r="11" spans="1:9" ht="14.25" customHeight="1" x14ac:dyDescent="0.2">
      <c r="A11" s="2">
        <v>8</v>
      </c>
      <c r="B11" t="s">
        <v>72</v>
      </c>
      <c r="C11" s="85">
        <v>1888.7174072265625</v>
      </c>
      <c r="D11" s="85">
        <v>-3.147125244140625E-5</v>
      </c>
      <c r="E11" s="84">
        <v>-1.6662763613339848E-8</v>
      </c>
      <c r="F11" s="85">
        <v>46157.00390625</v>
      </c>
      <c r="G11" s="85">
        <v>6603.62109375</v>
      </c>
      <c r="H11" s="84">
        <v>0.14306867122650146</v>
      </c>
      <c r="I11" s="85">
        <v>1876.69921875</v>
      </c>
    </row>
    <row r="12" spans="1:9" ht="14.25" customHeight="1" x14ac:dyDescent="0.2">
      <c r="A12" s="2">
        <v>9</v>
      </c>
      <c r="B12" t="s">
        <v>73</v>
      </c>
      <c r="C12" s="85">
        <v>1894.693603515625</v>
      </c>
      <c r="D12" s="85">
        <v>-6.866455078125E-5</v>
      </c>
      <c r="E12" s="84">
        <v>-3.6240450640434574E-8</v>
      </c>
      <c r="F12" s="85">
        <v>39900.0859375</v>
      </c>
      <c r="G12" s="85">
        <v>6254.5390625</v>
      </c>
      <c r="H12" s="84">
        <v>0.15675503015518188</v>
      </c>
      <c r="I12" s="85">
        <v>1881.4688720703125</v>
      </c>
    </row>
    <row r="13" spans="1:9" ht="14.25" customHeight="1" x14ac:dyDescent="0.2">
      <c r="A13" s="2">
        <v>10</v>
      </c>
      <c r="B13" t="s">
        <v>74</v>
      </c>
      <c r="C13" s="85">
        <v>1968.76025390625</v>
      </c>
      <c r="D13" s="85">
        <v>-7.05718994140625E-5</v>
      </c>
      <c r="E13" s="84">
        <v>-3.584585783755756E-8</v>
      </c>
      <c r="F13" s="85">
        <v>36998.7890625</v>
      </c>
      <c r="G13" s="85">
        <v>6584.7265625</v>
      </c>
      <c r="H13" s="84">
        <v>0.17797140777111053</v>
      </c>
      <c r="I13" s="85">
        <v>1951.9365234375</v>
      </c>
    </row>
    <row r="14" spans="1:9" ht="14.25" customHeight="1" x14ac:dyDescent="0.2">
      <c r="A14" s="2">
        <v>11</v>
      </c>
      <c r="B14" t="s">
        <v>75</v>
      </c>
      <c r="C14" s="85">
        <v>2042.4981689453125</v>
      </c>
      <c r="D14" s="85">
        <v>9.34600830078125E-5</v>
      </c>
      <c r="E14" s="84">
        <v>4.5757730049444945E-8</v>
      </c>
      <c r="F14" s="85">
        <v>33191.2421875</v>
      </c>
      <c r="G14" s="85">
        <v>6507.876953125</v>
      </c>
      <c r="H14" s="84">
        <v>0.19607211649417877</v>
      </c>
      <c r="I14" s="85">
        <v>2023.2708740234375</v>
      </c>
    </row>
    <row r="15" spans="1:9" ht="14.25" customHeight="1" x14ac:dyDescent="0.2">
      <c r="A15" s="2">
        <v>12</v>
      </c>
      <c r="B15" t="s">
        <v>76</v>
      </c>
      <c r="C15" s="85">
        <v>2052.70263671875</v>
      </c>
      <c r="D15" s="85">
        <v>1.52587890625E-5</v>
      </c>
      <c r="E15" s="84">
        <v>7.4335115840540311E-9</v>
      </c>
      <c r="F15" s="85">
        <v>30606.515625</v>
      </c>
      <c r="G15" s="85">
        <v>6589.712890625</v>
      </c>
      <c r="H15" s="84">
        <v>0.21530425548553467</v>
      </c>
      <c r="I15" s="85">
        <v>1.072021484375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EB85-B226-4978-A6D5-E8C2C73038C5}">
  <sheetPr codeName="Sheet17"/>
  <dimension ref="A1:J34"/>
  <sheetViews>
    <sheetView showGridLines="0" workbookViewId="0">
      <selection activeCell="E4" sqref="E4"/>
    </sheetView>
  </sheetViews>
  <sheetFormatPr defaultColWidth="7" defaultRowHeight="12.75" x14ac:dyDescent="0.2"/>
  <cols>
    <col min="1" max="1" width="7" customWidth="1"/>
    <col min="2" max="2" width="10.7109375" customWidth="1"/>
  </cols>
  <sheetData>
    <row r="1" spans="1:10" x14ac:dyDescent="0.2">
      <c r="A1" s="9" t="s">
        <v>50</v>
      </c>
      <c r="B1" s="9"/>
    </row>
    <row r="2" spans="1:10" x14ac:dyDescent="0.2">
      <c r="A2" s="9" t="s">
        <v>194</v>
      </c>
      <c r="B2" s="9" t="s">
        <v>37</v>
      </c>
    </row>
    <row r="4" spans="1:10" x14ac:dyDescent="0.2">
      <c r="A4" s="9" t="s">
        <v>96</v>
      </c>
      <c r="B4" s="9"/>
      <c r="D4" s="9"/>
      <c r="E4" t="s">
        <v>274</v>
      </c>
    </row>
    <row r="5" spans="1:10" x14ac:dyDescent="0.2">
      <c r="A5" s="71" t="s">
        <v>98</v>
      </c>
      <c r="B5" s="71" t="s">
        <v>426</v>
      </c>
      <c r="C5" t="s">
        <v>484</v>
      </c>
    </row>
    <row r="6" spans="1:10" x14ac:dyDescent="0.2">
      <c r="A6" s="75" t="s">
        <v>97</v>
      </c>
      <c r="B6" s="75" t="s">
        <v>97</v>
      </c>
      <c r="C6" s="94">
        <v>1</v>
      </c>
      <c r="D6" s="94">
        <v>2</v>
      </c>
      <c r="E6" s="94">
        <v>3</v>
      </c>
      <c r="F6" s="94">
        <v>4</v>
      </c>
      <c r="G6" s="94">
        <v>5</v>
      </c>
      <c r="H6" s="94">
        <v>6</v>
      </c>
      <c r="I6" s="94">
        <v>7</v>
      </c>
      <c r="J6" s="150" t="s">
        <v>183</v>
      </c>
    </row>
    <row r="8" spans="1:10" x14ac:dyDescent="0.2">
      <c r="A8" s="83">
        <v>0.5</v>
      </c>
      <c r="B8" s="83">
        <v>0.25</v>
      </c>
      <c r="C8" s="85">
        <v>457.978515625</v>
      </c>
      <c r="D8" s="85">
        <v>276.45870971679688</v>
      </c>
      <c r="E8" s="85">
        <v>202.04295349121094</v>
      </c>
      <c r="F8" s="85">
        <v>282.47869873046875</v>
      </c>
      <c r="G8" s="85">
        <v>200.52647399902344</v>
      </c>
      <c r="H8" s="85">
        <v>124.98225402832031</v>
      </c>
      <c r="I8" s="85">
        <v>163.01814270019531</v>
      </c>
      <c r="J8" s="85">
        <v>227.09426879882813</v>
      </c>
    </row>
    <row r="9" spans="1:10" x14ac:dyDescent="0.2">
      <c r="A9" s="83">
        <v>0.5</v>
      </c>
      <c r="B9" s="83">
        <v>1</v>
      </c>
      <c r="C9" s="85">
        <v>339.2449951171875</v>
      </c>
      <c r="D9" s="85">
        <v>239.58967590332031</v>
      </c>
      <c r="E9" s="85">
        <v>203.18716430664063</v>
      </c>
      <c r="F9" s="85">
        <v>259.5858154296875</v>
      </c>
      <c r="G9" s="85">
        <v>193.81942749023438</v>
      </c>
      <c r="H9" s="85">
        <v>148.76718139648438</v>
      </c>
      <c r="I9" s="85">
        <v>181.82643127441406</v>
      </c>
      <c r="J9" s="85">
        <v>213.20268249511719</v>
      </c>
    </row>
    <row r="10" spans="1:10" x14ac:dyDescent="0.2">
      <c r="A10" s="83">
        <v>0.5</v>
      </c>
      <c r="B10" s="83">
        <v>4</v>
      </c>
      <c r="C10" s="85">
        <v>245.91201782226563</v>
      </c>
      <c r="D10" s="85">
        <v>211.73292541503906</v>
      </c>
      <c r="E10" s="85">
        <v>199.4736328125</v>
      </c>
      <c r="F10" s="85">
        <v>214.62017822265625</v>
      </c>
      <c r="G10" s="85">
        <v>188.76542663574219</v>
      </c>
      <c r="H10" s="85">
        <v>176.75717163085938</v>
      </c>
      <c r="I10" s="85">
        <v>191.64900207519531</v>
      </c>
      <c r="J10" s="85">
        <v>200.83399963378906</v>
      </c>
    </row>
    <row r="11" spans="1:10" x14ac:dyDescent="0.2">
      <c r="A11" s="83">
        <v>1</v>
      </c>
      <c r="B11" s="83">
        <v>0.25</v>
      </c>
      <c r="C11" s="85">
        <v>439.0386962890625</v>
      </c>
      <c r="D11" s="85">
        <v>219.59605407714844</v>
      </c>
      <c r="E11" s="85">
        <v>144.57632446289063</v>
      </c>
      <c r="F11" s="85">
        <v>257.00762939453125</v>
      </c>
      <c r="G11" s="85">
        <v>157.054443359375</v>
      </c>
      <c r="H11" s="85">
        <v>86.268684387207031</v>
      </c>
      <c r="I11" s="85">
        <v>111.81348419189453</v>
      </c>
      <c r="J11" s="85">
        <v>180.89463806152344</v>
      </c>
    </row>
    <row r="12" spans="1:10" x14ac:dyDescent="0.2">
      <c r="A12" s="83">
        <v>1</v>
      </c>
      <c r="B12" s="83">
        <v>1</v>
      </c>
      <c r="C12" s="85">
        <v>308.93426513671875</v>
      </c>
      <c r="D12" s="85">
        <v>192.16375732421875</v>
      </c>
      <c r="E12" s="85">
        <v>153.12525939941406</v>
      </c>
      <c r="F12" s="85">
        <v>233.2371826171875</v>
      </c>
      <c r="G12" s="85">
        <v>153.41615295410156</v>
      </c>
      <c r="H12" s="85">
        <v>104.82675170898438</v>
      </c>
      <c r="I12" s="85">
        <v>132.70794677734375</v>
      </c>
      <c r="J12" s="85">
        <v>169.45674133300781</v>
      </c>
    </row>
    <row r="13" spans="1:10" x14ac:dyDescent="0.2">
      <c r="A13" s="83">
        <v>1</v>
      </c>
      <c r="B13" s="83">
        <v>4</v>
      </c>
      <c r="C13" s="85">
        <v>207.12016296386719</v>
      </c>
      <c r="D13" s="85">
        <v>167.53852844238281</v>
      </c>
      <c r="E13" s="85">
        <v>153.8359375</v>
      </c>
      <c r="F13" s="85">
        <v>181.29544067382813</v>
      </c>
      <c r="G13" s="85">
        <v>148.15663146972656</v>
      </c>
      <c r="H13" s="85">
        <v>131.44134521484375</v>
      </c>
      <c r="I13" s="85">
        <v>145.68156433105469</v>
      </c>
      <c r="J13" s="85">
        <v>157.61993408203125</v>
      </c>
    </row>
    <row r="14" spans="1:10" x14ac:dyDescent="0.2">
      <c r="A14" s="83">
        <v>2</v>
      </c>
      <c r="B14" s="83">
        <v>0.25</v>
      </c>
      <c r="C14" s="85">
        <v>408.61370849609375</v>
      </c>
      <c r="D14" s="85">
        <v>166.08026123046875</v>
      </c>
      <c r="E14" s="85">
        <v>97.968658447265625</v>
      </c>
      <c r="F14" s="85">
        <v>223.78984069824219</v>
      </c>
      <c r="G14" s="85">
        <v>115.71276092529297</v>
      </c>
      <c r="H14" s="85">
        <v>56.384620666503906</v>
      </c>
      <c r="I14" s="85">
        <v>72.498153686523438</v>
      </c>
      <c r="J14" s="85">
        <v>139.35224914550781</v>
      </c>
    </row>
    <row r="15" spans="1:10" x14ac:dyDescent="0.2">
      <c r="A15" s="83">
        <v>2</v>
      </c>
      <c r="B15" s="83">
        <v>1</v>
      </c>
      <c r="C15" s="85">
        <v>279.27667236328125</v>
      </c>
      <c r="D15" s="85">
        <v>149.66935729980469</v>
      </c>
      <c r="E15" s="85">
        <v>110.7076416015625</v>
      </c>
      <c r="F15" s="85">
        <v>202.79498291015625</v>
      </c>
      <c r="G15" s="85">
        <v>115.42932891845703</v>
      </c>
      <c r="H15" s="85">
        <v>70.143318176269531</v>
      </c>
      <c r="I15" s="85">
        <v>92.42327880859375</v>
      </c>
      <c r="J15" s="85">
        <v>131.0867919921875</v>
      </c>
    </row>
    <row r="16" spans="1:10" x14ac:dyDescent="0.2">
      <c r="A16" s="83">
        <v>2</v>
      </c>
      <c r="B16" s="83">
        <v>4</v>
      </c>
      <c r="C16" s="85">
        <v>173.84657287597656</v>
      </c>
      <c r="D16" s="85">
        <v>129.84675598144531</v>
      </c>
      <c r="E16" s="85">
        <v>115.24296569824219</v>
      </c>
      <c r="F16" s="85">
        <v>151.53684997558594</v>
      </c>
      <c r="G16" s="85">
        <v>113.17031097412109</v>
      </c>
      <c r="H16" s="85">
        <v>93.959671020507813</v>
      </c>
      <c r="I16" s="85">
        <v>107.1021728515625</v>
      </c>
      <c r="J16" s="85">
        <v>120.95458221435547</v>
      </c>
    </row>
    <row r="18" spans="1:10" x14ac:dyDescent="0.2">
      <c r="A18" t="s">
        <v>99</v>
      </c>
      <c r="C18" s="85">
        <v>367</v>
      </c>
      <c r="D18" s="85"/>
      <c r="E18" s="85">
        <v>149</v>
      </c>
      <c r="F18" s="85">
        <v>234</v>
      </c>
      <c r="G18" s="85">
        <v>130</v>
      </c>
      <c r="H18" s="85">
        <v>99</v>
      </c>
      <c r="I18" s="85">
        <v>145</v>
      </c>
      <c r="J18" s="85">
        <v>163.55000305175781</v>
      </c>
    </row>
    <row r="20" spans="1:10" x14ac:dyDescent="0.2">
      <c r="A20" s="9" t="s">
        <v>96</v>
      </c>
      <c r="B20" s="9"/>
      <c r="D20" s="9"/>
      <c r="E20" t="s">
        <v>275</v>
      </c>
    </row>
    <row r="21" spans="1:10" x14ac:dyDescent="0.2">
      <c r="A21" s="71" t="s">
        <v>98</v>
      </c>
      <c r="B21" s="71" t="s">
        <v>426</v>
      </c>
      <c r="C21" t="s">
        <v>484</v>
      </c>
    </row>
    <row r="22" spans="1:10" x14ac:dyDescent="0.2">
      <c r="A22" s="75" t="s">
        <v>97</v>
      </c>
      <c r="B22" s="75" t="s">
        <v>97</v>
      </c>
      <c r="C22" s="94">
        <v>1</v>
      </c>
      <c r="D22" s="94">
        <v>2</v>
      </c>
      <c r="E22" s="94">
        <v>3</v>
      </c>
      <c r="F22" s="94">
        <v>4</v>
      </c>
      <c r="G22" s="94">
        <v>5</v>
      </c>
      <c r="H22" s="94">
        <v>6</v>
      </c>
      <c r="I22" s="94">
        <v>7</v>
      </c>
      <c r="J22" s="150" t="s">
        <v>183</v>
      </c>
    </row>
    <row r="24" spans="1:10" x14ac:dyDescent="0.2">
      <c r="A24" s="83">
        <v>0.5</v>
      </c>
      <c r="B24" s="83">
        <v>0.25</v>
      </c>
      <c r="C24" s="85">
        <v>1824.3216552734375</v>
      </c>
      <c r="D24" s="85">
        <v>1629.4449462890625</v>
      </c>
      <c r="E24" s="85">
        <v>1504.685546875</v>
      </c>
      <c r="F24" s="85">
        <v>1366.5196533203125</v>
      </c>
      <c r="G24" s="85">
        <v>1283.82421875</v>
      </c>
      <c r="H24" s="85">
        <v>1134.249755859375</v>
      </c>
      <c r="I24" s="85">
        <v>1367.7313232421875</v>
      </c>
      <c r="J24" s="85">
        <v>1440.178955078125</v>
      </c>
    </row>
    <row r="25" spans="1:10" x14ac:dyDescent="0.2">
      <c r="A25" s="83">
        <v>0.5</v>
      </c>
      <c r="B25" s="83">
        <v>1</v>
      </c>
      <c r="C25" s="85">
        <v>1642.5172119140625</v>
      </c>
      <c r="D25" s="85">
        <v>1500.5255126953125</v>
      </c>
      <c r="E25" s="85">
        <v>1435.2734375</v>
      </c>
      <c r="F25" s="85">
        <v>1340.0521240234375</v>
      </c>
      <c r="G25" s="85">
        <v>1277.6724853515625</v>
      </c>
      <c r="H25" s="85">
        <v>1257.621337890625</v>
      </c>
      <c r="I25" s="85">
        <v>1379.4351806640625</v>
      </c>
      <c r="J25" s="85">
        <v>1402.3048095703125</v>
      </c>
    </row>
    <row r="26" spans="1:10" x14ac:dyDescent="0.2">
      <c r="A26" s="83">
        <v>0.5</v>
      </c>
      <c r="B26" s="83">
        <v>4</v>
      </c>
      <c r="C26" s="85">
        <v>1473.2718505859375</v>
      </c>
      <c r="D26" s="85">
        <v>1420.15771484375</v>
      </c>
      <c r="E26" s="85">
        <v>1398.80712890625</v>
      </c>
      <c r="F26" s="85">
        <v>1335.408935546875</v>
      </c>
      <c r="G26" s="85">
        <v>1325.5135498046875</v>
      </c>
      <c r="H26" s="85">
        <v>1340.580322265625</v>
      </c>
      <c r="I26" s="85">
        <v>1381.7247314453125</v>
      </c>
      <c r="J26" s="85">
        <v>1383.616943359375</v>
      </c>
    </row>
    <row r="27" spans="1:10" x14ac:dyDescent="0.2">
      <c r="A27" s="83">
        <v>1</v>
      </c>
      <c r="B27" s="83">
        <v>0.25</v>
      </c>
      <c r="C27" s="85">
        <v>1814.4871826171875</v>
      </c>
      <c r="D27" s="85">
        <v>1498.8194580078125</v>
      </c>
      <c r="E27" s="85">
        <v>1316.0264892578125</v>
      </c>
      <c r="F27" s="85">
        <v>1342.7923583984375</v>
      </c>
      <c r="G27" s="85">
        <v>1193.0928955078125</v>
      </c>
      <c r="H27" s="85">
        <v>968.28155517578125</v>
      </c>
      <c r="I27" s="85">
        <v>1169.3201904296875</v>
      </c>
      <c r="J27" s="85">
        <v>1306.267822265625</v>
      </c>
    </row>
    <row r="28" spans="1:10" x14ac:dyDescent="0.2">
      <c r="A28" s="83">
        <v>1</v>
      </c>
      <c r="B28" s="83">
        <v>1</v>
      </c>
      <c r="C28" s="85">
        <v>1554.3240966796875</v>
      </c>
      <c r="D28" s="85">
        <v>1349.1473388671875</v>
      </c>
      <c r="E28" s="85">
        <v>1260.9210205078125</v>
      </c>
      <c r="F28" s="85">
        <v>1291.77490234375</v>
      </c>
      <c r="G28" s="85">
        <v>1167.480224609375</v>
      </c>
      <c r="H28" s="85">
        <v>1077.2203369140625</v>
      </c>
      <c r="I28" s="85">
        <v>1196.90234375</v>
      </c>
      <c r="J28" s="85">
        <v>1255.190673828125</v>
      </c>
    </row>
    <row r="29" spans="1:10" x14ac:dyDescent="0.2">
      <c r="A29" s="83">
        <v>1</v>
      </c>
      <c r="B29" s="83">
        <v>4</v>
      </c>
      <c r="C29" s="85">
        <v>1329.98291015625</v>
      </c>
      <c r="D29" s="85">
        <v>1256.021484375</v>
      </c>
      <c r="E29" s="85">
        <v>1227.505126953125</v>
      </c>
      <c r="F29" s="85">
        <v>1216.034423828125</v>
      </c>
      <c r="G29" s="85">
        <v>1174.4345703125</v>
      </c>
      <c r="H29" s="85">
        <v>1163.97900390625</v>
      </c>
      <c r="I29" s="85">
        <v>1207.205810546875</v>
      </c>
      <c r="J29" s="85">
        <v>1221.184814453125</v>
      </c>
    </row>
    <row r="30" spans="1:10" x14ac:dyDescent="0.2">
      <c r="A30" s="83">
        <v>2</v>
      </c>
      <c r="B30" s="83">
        <v>0.25</v>
      </c>
      <c r="C30" s="85">
        <v>1795.432861328125</v>
      </c>
      <c r="D30" s="85">
        <v>1323.2784423828125</v>
      </c>
      <c r="E30" s="85">
        <v>1082.419189453125</v>
      </c>
      <c r="F30" s="85">
        <v>1299.7864990234375</v>
      </c>
      <c r="G30" s="85">
        <v>1058.71630859375</v>
      </c>
      <c r="H30" s="85">
        <v>771.1859130859375</v>
      </c>
      <c r="I30" s="85">
        <v>932.093994140625</v>
      </c>
      <c r="J30" s="85">
        <v>1135.4189453125</v>
      </c>
    </row>
    <row r="31" spans="1:10" x14ac:dyDescent="0.2">
      <c r="A31" s="83">
        <v>2</v>
      </c>
      <c r="B31" s="83">
        <v>1</v>
      </c>
      <c r="C31" s="85">
        <v>1446.4287109375</v>
      </c>
      <c r="D31" s="85">
        <v>1166.1124267578125</v>
      </c>
      <c r="E31" s="85">
        <v>1053.0802001953125</v>
      </c>
      <c r="F31" s="85">
        <v>1222.662841796875</v>
      </c>
      <c r="G31" s="85">
        <v>1023.2341918945313</v>
      </c>
      <c r="H31" s="85">
        <v>866.47711181640625</v>
      </c>
      <c r="I31" s="85">
        <v>981.4617919921875</v>
      </c>
      <c r="J31" s="85">
        <v>1077.62890625</v>
      </c>
    </row>
    <row r="32" spans="1:10" x14ac:dyDescent="0.2">
      <c r="A32" s="83">
        <v>2</v>
      </c>
      <c r="B32" s="83">
        <v>4</v>
      </c>
      <c r="C32" s="85">
        <v>1163.1038818359375</v>
      </c>
      <c r="D32" s="85">
        <v>1064.9901123046875</v>
      </c>
      <c r="E32" s="85">
        <v>1028.411865234375</v>
      </c>
      <c r="F32" s="85">
        <v>1075.4073486328125</v>
      </c>
      <c r="G32" s="85">
        <v>997.6529541015625</v>
      </c>
      <c r="H32" s="85">
        <v>959.53515625</v>
      </c>
      <c r="I32" s="85">
        <v>1004.6516723632813</v>
      </c>
      <c r="J32" s="85">
        <v>1032.2066650390625</v>
      </c>
    </row>
    <row r="34" spans="1:10" x14ac:dyDescent="0.2">
      <c r="A34" t="s">
        <v>99</v>
      </c>
      <c r="C34" s="85">
        <v>1575</v>
      </c>
      <c r="D34" s="85"/>
      <c r="E34" s="85">
        <v>1303</v>
      </c>
      <c r="F34" s="85">
        <v>1077</v>
      </c>
      <c r="G34" s="85">
        <v>1099</v>
      </c>
      <c r="H34" s="85">
        <v>1079</v>
      </c>
      <c r="I34" s="85">
        <v>1277</v>
      </c>
      <c r="J34" s="85">
        <v>1218.4000244140625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4734D-DC32-48EC-94C4-3B892D210125}">
  <sheetPr codeName="Sheet20"/>
  <dimension ref="A1:L37"/>
  <sheetViews>
    <sheetView showGridLines="0" workbookViewId="0"/>
  </sheetViews>
  <sheetFormatPr defaultRowHeight="12.75" x14ac:dyDescent="0.2"/>
  <cols>
    <col min="1" max="1" width="6.28515625" customWidth="1"/>
    <col min="2" max="2" width="7.140625" customWidth="1"/>
    <col min="3" max="3" width="20" customWidth="1"/>
    <col min="4" max="4" width="12.42578125" customWidth="1"/>
    <col min="5" max="5" width="8.42578125" customWidth="1"/>
    <col min="6" max="6" width="10.28515625" customWidth="1"/>
    <col min="7" max="7" width="8" customWidth="1"/>
    <col min="8" max="8" width="10.28515625" customWidth="1"/>
    <col min="9" max="9" width="7.85546875" customWidth="1"/>
    <col min="10" max="10" width="10.28515625" customWidth="1"/>
    <col min="11" max="11" width="8.28515625" customWidth="1"/>
    <col min="12" max="12" width="7.7109375" customWidth="1"/>
  </cols>
  <sheetData>
    <row r="1" spans="1:12" x14ac:dyDescent="0.2">
      <c r="A1" s="9" t="s">
        <v>50</v>
      </c>
      <c r="B1" s="9"/>
    </row>
    <row r="2" spans="1:12" x14ac:dyDescent="0.2">
      <c r="A2" s="9" t="s">
        <v>194</v>
      </c>
      <c r="B2" s="9" t="s">
        <v>37</v>
      </c>
    </row>
    <row r="4" spans="1:12" ht="14.25" x14ac:dyDescent="0.2">
      <c r="A4" s="9" t="s">
        <v>400</v>
      </c>
      <c r="B4" s="9"/>
      <c r="C4" s="9" t="s">
        <v>1</v>
      </c>
      <c r="D4" s="19" t="s">
        <v>405</v>
      </c>
      <c r="E4" s="91">
        <v>93.737596935845175</v>
      </c>
      <c r="F4" s="9"/>
      <c r="G4" s="9"/>
      <c r="H4" s="9"/>
      <c r="I4" s="9"/>
      <c r="J4" s="9"/>
      <c r="K4" s="9"/>
      <c r="L4" s="9"/>
    </row>
    <row r="5" spans="1:12" x14ac:dyDescent="0.2">
      <c r="A5" s="9" t="s">
        <v>401</v>
      </c>
      <c r="B5" s="9"/>
      <c r="C5" s="9"/>
      <c r="D5" s="92">
        <v>1</v>
      </c>
      <c r="E5" s="89" t="s">
        <v>438</v>
      </c>
      <c r="F5" s="92">
        <v>0.44999998807907104</v>
      </c>
      <c r="G5" s="9"/>
      <c r="H5" s="9"/>
      <c r="I5" s="9"/>
      <c r="J5" s="9"/>
      <c r="K5" s="9"/>
      <c r="L5" s="9"/>
    </row>
    <row r="6" spans="1:12" x14ac:dyDescent="0.2">
      <c r="A6" s="9"/>
      <c r="B6" s="9"/>
      <c r="C6" s="9"/>
      <c r="D6" s="9" t="s">
        <v>402</v>
      </c>
      <c r="E6" s="9"/>
      <c r="F6" s="19" t="s">
        <v>30</v>
      </c>
      <c r="G6" s="9"/>
      <c r="H6" s="19" t="s">
        <v>31</v>
      </c>
      <c r="I6" s="9"/>
      <c r="J6" s="19" t="s">
        <v>29</v>
      </c>
      <c r="K6" s="9"/>
      <c r="L6" s="9"/>
    </row>
    <row r="7" spans="1:12" x14ac:dyDescent="0.2">
      <c r="A7" s="74" t="s">
        <v>251</v>
      </c>
      <c r="B7" s="73" t="s">
        <v>433</v>
      </c>
      <c r="C7" s="74" t="s">
        <v>143</v>
      </c>
      <c r="D7" s="75" t="s">
        <v>183</v>
      </c>
      <c r="E7" s="75" t="s">
        <v>184</v>
      </c>
      <c r="F7" s="75" t="s">
        <v>183</v>
      </c>
      <c r="G7" s="75" t="s">
        <v>184</v>
      </c>
      <c r="H7" s="75" t="s">
        <v>183</v>
      </c>
      <c r="I7" s="75" t="s">
        <v>184</v>
      </c>
      <c r="J7" s="75" t="s">
        <v>183</v>
      </c>
      <c r="K7" s="75" t="s">
        <v>403</v>
      </c>
      <c r="L7" s="75" t="s">
        <v>404</v>
      </c>
    </row>
    <row r="8" spans="1:12" x14ac:dyDescent="0.2">
      <c r="A8" s="2">
        <v>1</v>
      </c>
      <c r="B8" s="2">
        <v>1</v>
      </c>
      <c r="C8" t="s">
        <v>118</v>
      </c>
      <c r="D8" s="83">
        <v>1</v>
      </c>
      <c r="E8" s="83">
        <v>0</v>
      </c>
      <c r="F8" s="68">
        <v>308.93423461914063</v>
      </c>
      <c r="G8" s="83">
        <v>0.25225287675857544</v>
      </c>
      <c r="H8" s="68">
        <v>367</v>
      </c>
      <c r="I8" s="83">
        <v>9.0000003576278687E-2</v>
      </c>
      <c r="J8" s="83">
        <v>0.17223343253135681</v>
      </c>
      <c r="K8" s="83">
        <v>0.26782739162445068</v>
      </c>
      <c r="L8" s="83">
        <v>0.64307624101638794</v>
      </c>
    </row>
    <row r="9" spans="1:12" x14ac:dyDescent="0.2">
      <c r="A9" s="2">
        <v>3</v>
      </c>
      <c r="B9" s="2">
        <v>1</v>
      </c>
      <c r="C9" t="s">
        <v>120</v>
      </c>
      <c r="D9" s="83">
        <v>1</v>
      </c>
      <c r="E9" s="83">
        <v>0</v>
      </c>
      <c r="F9" s="68">
        <v>153.12525939941406</v>
      </c>
      <c r="G9" s="83">
        <v>0.21021543443202972</v>
      </c>
      <c r="H9" s="68">
        <v>149</v>
      </c>
      <c r="I9" s="83">
        <v>0.14000000059604645</v>
      </c>
      <c r="J9" s="83">
        <v>-2.7309969067573547E-2</v>
      </c>
      <c r="K9" s="83">
        <v>0.25256785750389099</v>
      </c>
      <c r="L9" s="83">
        <v>-0.10812923312187195</v>
      </c>
    </row>
    <row r="10" spans="1:12" x14ac:dyDescent="0.2">
      <c r="A10" s="2">
        <v>4</v>
      </c>
      <c r="B10" s="2">
        <v>1</v>
      </c>
      <c r="C10" t="s">
        <v>121</v>
      </c>
      <c r="D10" s="83">
        <v>1</v>
      </c>
      <c r="E10" s="83">
        <v>0</v>
      </c>
      <c r="F10" s="68">
        <v>233.2371826171875</v>
      </c>
      <c r="G10" s="83">
        <v>0.1609162837266922</v>
      </c>
      <c r="H10" s="68">
        <v>234</v>
      </c>
      <c r="I10" s="83">
        <v>0.10999999940395355</v>
      </c>
      <c r="J10" s="83">
        <v>3.2652283553034067E-3</v>
      </c>
      <c r="K10" s="83">
        <v>0.19492062926292419</v>
      </c>
      <c r="L10" s="83">
        <v>1.6751579940319061E-2</v>
      </c>
    </row>
    <row r="11" spans="1:12" x14ac:dyDescent="0.2">
      <c r="A11" s="2">
        <v>5</v>
      </c>
      <c r="B11" s="2">
        <v>1</v>
      </c>
      <c r="C11" t="s">
        <v>122</v>
      </c>
      <c r="D11" s="83">
        <v>1</v>
      </c>
      <c r="E11" s="83">
        <v>0</v>
      </c>
      <c r="F11" s="68">
        <v>153.41615295410156</v>
      </c>
      <c r="G11" s="83">
        <v>0.17774277925491333</v>
      </c>
      <c r="H11" s="68">
        <v>130</v>
      </c>
      <c r="I11" s="83">
        <v>0.15000000596046448</v>
      </c>
      <c r="J11" s="83">
        <v>-0.16561973094940186</v>
      </c>
      <c r="K11" s="83">
        <v>0.23257793486118317</v>
      </c>
      <c r="L11" s="83">
        <v>-0.7121042013168335</v>
      </c>
    </row>
    <row r="12" spans="1:12" x14ac:dyDescent="0.2">
      <c r="A12" s="2">
        <v>6</v>
      </c>
      <c r="B12" s="2">
        <v>1</v>
      </c>
      <c r="C12" t="s">
        <v>123</v>
      </c>
      <c r="D12" s="83">
        <v>1</v>
      </c>
      <c r="E12" s="83">
        <v>0</v>
      </c>
      <c r="F12" s="68">
        <v>104.82675170898438</v>
      </c>
      <c r="G12" s="83">
        <v>0.28403773903846741</v>
      </c>
      <c r="H12" s="68">
        <v>99</v>
      </c>
      <c r="I12" s="83">
        <v>0.12999999523162842</v>
      </c>
      <c r="J12" s="83">
        <v>-5.7189155369997025E-2</v>
      </c>
      <c r="K12" s="83">
        <v>0.31237387657165527</v>
      </c>
      <c r="L12" s="83">
        <v>-0.18307918310165405</v>
      </c>
    </row>
    <row r="13" spans="1:12" x14ac:dyDescent="0.2">
      <c r="A13" s="2">
        <v>7</v>
      </c>
      <c r="B13" s="2">
        <v>1</v>
      </c>
      <c r="C13" t="s">
        <v>124</v>
      </c>
      <c r="D13" s="83">
        <v>1</v>
      </c>
      <c r="E13" s="83">
        <v>0</v>
      </c>
      <c r="F13" s="68">
        <v>132.70794677734375</v>
      </c>
      <c r="G13" s="83">
        <v>0.2387891411781311</v>
      </c>
      <c r="H13" s="68">
        <v>145</v>
      </c>
      <c r="I13" s="83">
        <v>0.18000000715255737</v>
      </c>
      <c r="J13" s="83">
        <v>8.8582918047904968E-2</v>
      </c>
      <c r="K13" s="83">
        <v>0.29903221130371094</v>
      </c>
      <c r="L13" s="83">
        <v>0.29623201489448547</v>
      </c>
    </row>
    <row r="16" spans="1:12" ht="14.25" x14ac:dyDescent="0.2">
      <c r="A16" s="9" t="s">
        <v>400</v>
      </c>
      <c r="B16" s="9"/>
      <c r="C16" s="9" t="s">
        <v>2</v>
      </c>
      <c r="D16" s="19" t="s">
        <v>405</v>
      </c>
      <c r="E16" s="91">
        <v>62.733937374958138</v>
      </c>
      <c r="F16" s="9"/>
      <c r="G16" s="9"/>
      <c r="H16" s="9"/>
      <c r="I16" s="9"/>
      <c r="J16" s="9"/>
      <c r="K16" s="9"/>
      <c r="L16" s="9"/>
    </row>
    <row r="17" spans="1:12" x14ac:dyDescent="0.2">
      <c r="A17" s="9" t="s">
        <v>401</v>
      </c>
      <c r="B17" s="9"/>
      <c r="C17" s="9"/>
      <c r="D17" s="92">
        <v>1</v>
      </c>
      <c r="E17" s="89" t="s">
        <v>438</v>
      </c>
      <c r="F17" s="92">
        <v>0.55000001192092896</v>
      </c>
      <c r="G17" s="9"/>
      <c r="H17" s="9"/>
      <c r="I17" s="9"/>
      <c r="J17" s="9"/>
      <c r="K17" s="9"/>
      <c r="L17" s="9"/>
    </row>
    <row r="18" spans="1:12" x14ac:dyDescent="0.2">
      <c r="A18" s="9"/>
      <c r="B18" s="9"/>
      <c r="C18" s="9"/>
      <c r="D18" s="9" t="s">
        <v>402</v>
      </c>
      <c r="E18" s="9"/>
      <c r="F18" s="19" t="s">
        <v>30</v>
      </c>
      <c r="G18" s="9"/>
      <c r="H18" s="19" t="s">
        <v>31</v>
      </c>
      <c r="I18" s="9"/>
      <c r="J18" s="19" t="s">
        <v>29</v>
      </c>
      <c r="K18" s="9"/>
      <c r="L18" s="9"/>
    </row>
    <row r="19" spans="1:12" x14ac:dyDescent="0.2">
      <c r="A19" s="74" t="s">
        <v>251</v>
      </c>
      <c r="B19" s="73" t="s">
        <v>433</v>
      </c>
      <c r="C19" s="74" t="s">
        <v>143</v>
      </c>
      <c r="D19" s="75" t="s">
        <v>183</v>
      </c>
      <c r="E19" s="75" t="s">
        <v>184</v>
      </c>
      <c r="F19" s="75" t="s">
        <v>183</v>
      </c>
      <c r="G19" s="75" t="s">
        <v>184</v>
      </c>
      <c r="H19" s="75" t="s">
        <v>183</v>
      </c>
      <c r="I19" s="75" t="s">
        <v>184</v>
      </c>
      <c r="J19" s="75" t="s">
        <v>183</v>
      </c>
      <c r="K19" s="75" t="s">
        <v>403</v>
      </c>
      <c r="L19" s="75" t="s">
        <v>404</v>
      </c>
    </row>
    <row r="20" spans="1:12" x14ac:dyDescent="0.2">
      <c r="A20" s="2">
        <v>1</v>
      </c>
      <c r="B20" s="2">
        <v>1</v>
      </c>
      <c r="C20" t="s">
        <v>118</v>
      </c>
      <c r="D20" s="83">
        <v>1</v>
      </c>
      <c r="E20" s="83">
        <v>0</v>
      </c>
      <c r="F20" s="68">
        <v>1554.3240966796875</v>
      </c>
      <c r="G20" s="83">
        <v>0.18780694901943207</v>
      </c>
      <c r="H20" s="68">
        <v>1575</v>
      </c>
      <c r="I20" s="83">
        <v>0.15000000596046448</v>
      </c>
      <c r="J20" s="83">
        <v>1.3214485719799995E-2</v>
      </c>
      <c r="K20" s="83">
        <v>0.2403569221496582</v>
      </c>
      <c r="L20" s="83">
        <v>5.4978594183921814E-2</v>
      </c>
    </row>
    <row r="21" spans="1:12" x14ac:dyDescent="0.2">
      <c r="A21" s="2">
        <v>3</v>
      </c>
      <c r="B21" s="2">
        <v>1</v>
      </c>
      <c r="C21" t="s">
        <v>120</v>
      </c>
      <c r="D21" s="83">
        <v>1</v>
      </c>
      <c r="E21" s="83">
        <v>0</v>
      </c>
      <c r="F21" s="68">
        <v>1260.9208984375</v>
      </c>
      <c r="G21" s="83">
        <v>0.17127221822738647</v>
      </c>
      <c r="H21" s="68">
        <v>1303</v>
      </c>
      <c r="I21" s="83">
        <v>5.9999998658895493E-2</v>
      </c>
      <c r="J21" s="83">
        <v>3.2826971262693405E-2</v>
      </c>
      <c r="K21" s="83">
        <v>0.18147774040699005</v>
      </c>
      <c r="L21" s="83">
        <v>0.18088704347610474</v>
      </c>
    </row>
    <row r="22" spans="1:12" x14ac:dyDescent="0.2">
      <c r="A22" s="2">
        <v>4</v>
      </c>
      <c r="B22" s="2">
        <v>1</v>
      </c>
      <c r="C22" t="s">
        <v>121</v>
      </c>
      <c r="D22" s="83">
        <v>1</v>
      </c>
      <c r="E22" s="83">
        <v>0</v>
      </c>
      <c r="F22" s="68">
        <v>1291.7747802734375</v>
      </c>
      <c r="G22" s="83">
        <v>0.11119695752859116</v>
      </c>
      <c r="H22" s="68">
        <v>1077</v>
      </c>
      <c r="I22" s="83">
        <v>0.11999999731779099</v>
      </c>
      <c r="J22" s="83">
        <v>-0.18183767795562744</v>
      </c>
      <c r="K22" s="83">
        <v>0.1635994017124176</v>
      </c>
      <c r="L22" s="83">
        <v>-1.1114813089370728</v>
      </c>
    </row>
    <row r="23" spans="1:12" x14ac:dyDescent="0.2">
      <c r="A23" s="2">
        <v>5</v>
      </c>
      <c r="B23" s="2">
        <v>1</v>
      </c>
      <c r="C23" t="s">
        <v>122</v>
      </c>
      <c r="D23" s="83">
        <v>1</v>
      </c>
      <c r="E23" s="83">
        <v>0</v>
      </c>
      <c r="F23" s="68">
        <v>1167.480224609375</v>
      </c>
      <c r="G23" s="83">
        <v>0.11895136535167694</v>
      </c>
      <c r="H23" s="68">
        <v>1099</v>
      </c>
      <c r="I23" s="83">
        <v>9.0000003576278687E-2</v>
      </c>
      <c r="J23" s="83">
        <v>-6.0447096824645996E-2</v>
      </c>
      <c r="K23" s="83">
        <v>0.14916242659091949</v>
      </c>
      <c r="L23" s="83">
        <v>-0.40524345636367798</v>
      </c>
    </row>
    <row r="24" spans="1:12" x14ac:dyDescent="0.2">
      <c r="A24" s="2">
        <v>6</v>
      </c>
      <c r="B24" s="2">
        <v>1</v>
      </c>
      <c r="C24" t="s">
        <v>123</v>
      </c>
      <c r="D24" s="83">
        <v>1</v>
      </c>
      <c r="E24" s="83">
        <v>0</v>
      </c>
      <c r="F24" s="68">
        <v>1077.22021484375</v>
      </c>
      <c r="G24" s="83">
        <v>0.16982446610927582</v>
      </c>
      <c r="H24" s="68">
        <v>1079</v>
      </c>
      <c r="I24" s="83">
        <v>0.10000000149011612</v>
      </c>
      <c r="J24" s="83">
        <v>1.6508384142071009E-3</v>
      </c>
      <c r="K24" s="83">
        <v>0.19707955420017242</v>
      </c>
      <c r="L24" s="83">
        <v>8.3765080198645592E-3</v>
      </c>
    </row>
    <row r="25" spans="1:12" x14ac:dyDescent="0.2">
      <c r="A25" s="2">
        <v>7</v>
      </c>
      <c r="B25" s="2">
        <v>1</v>
      </c>
      <c r="C25" t="s">
        <v>124</v>
      </c>
      <c r="D25" s="83">
        <v>1</v>
      </c>
      <c r="E25" s="83">
        <v>0</v>
      </c>
      <c r="F25" s="68">
        <v>1196.9022216796875</v>
      </c>
      <c r="G25" s="83">
        <v>0.16970562934875488</v>
      </c>
      <c r="H25" s="68">
        <v>1277</v>
      </c>
      <c r="I25" s="83">
        <v>5.000000074505806E-2</v>
      </c>
      <c r="J25" s="83">
        <v>6.4776837825775146E-2</v>
      </c>
      <c r="K25" s="83">
        <v>0.17691805958747864</v>
      </c>
      <c r="L25" s="83">
        <v>0.36614033579826355</v>
      </c>
    </row>
    <row r="28" spans="1:12" ht="14.25" x14ac:dyDescent="0.2">
      <c r="A28" s="9" t="s">
        <v>400</v>
      </c>
      <c r="B28" s="9"/>
      <c r="C28" s="9" t="s">
        <v>4</v>
      </c>
      <c r="D28" s="19" t="s">
        <v>405</v>
      </c>
      <c r="E28" s="91">
        <v>81.01176925376204</v>
      </c>
      <c r="F28" s="9"/>
      <c r="G28" s="9"/>
      <c r="H28" s="9"/>
      <c r="I28" s="9"/>
      <c r="J28" s="9"/>
      <c r="K28" s="9"/>
      <c r="L28" s="9"/>
    </row>
    <row r="29" spans="1:12" x14ac:dyDescent="0.2">
      <c r="A29" s="9" t="s">
        <v>401</v>
      </c>
      <c r="B29" s="9"/>
      <c r="C29" s="9"/>
      <c r="D29" s="92">
        <v>1</v>
      </c>
      <c r="E29" s="89" t="s">
        <v>438</v>
      </c>
      <c r="F29" s="92">
        <v>0.25999999046325684</v>
      </c>
      <c r="G29" s="9"/>
      <c r="H29" s="9"/>
      <c r="I29" s="9"/>
      <c r="J29" s="9"/>
      <c r="K29" s="9"/>
      <c r="L29" s="9"/>
    </row>
    <row r="30" spans="1:12" x14ac:dyDescent="0.2">
      <c r="A30" s="9"/>
      <c r="B30" s="9"/>
      <c r="C30" s="9"/>
      <c r="D30" s="9" t="s">
        <v>402</v>
      </c>
      <c r="E30" s="9"/>
      <c r="F30" s="19" t="s">
        <v>30</v>
      </c>
      <c r="G30" s="9"/>
      <c r="H30" s="19" t="s">
        <v>31</v>
      </c>
      <c r="I30" s="9"/>
      <c r="J30" s="19" t="s">
        <v>29</v>
      </c>
      <c r="K30" s="9"/>
      <c r="L30" s="9"/>
    </row>
    <row r="31" spans="1:12" x14ac:dyDescent="0.2">
      <c r="A31" s="74" t="s">
        <v>251</v>
      </c>
      <c r="B31" s="73" t="s">
        <v>433</v>
      </c>
      <c r="C31" s="74" t="s">
        <v>143</v>
      </c>
      <c r="D31" s="75" t="s">
        <v>183</v>
      </c>
      <c r="E31" s="75" t="s">
        <v>184</v>
      </c>
      <c r="F31" s="75" t="s">
        <v>183</v>
      </c>
      <c r="G31" s="75" t="s">
        <v>184</v>
      </c>
      <c r="H31" s="75" t="s">
        <v>183</v>
      </c>
      <c r="I31" s="75" t="s">
        <v>184</v>
      </c>
      <c r="J31" s="75" t="s">
        <v>183</v>
      </c>
      <c r="K31" s="75" t="s">
        <v>403</v>
      </c>
      <c r="L31" s="75" t="s">
        <v>404</v>
      </c>
    </row>
    <row r="32" spans="1:12" x14ac:dyDescent="0.2">
      <c r="A32" s="2">
        <v>1</v>
      </c>
      <c r="B32" s="2">
        <v>1</v>
      </c>
      <c r="C32" t="s">
        <v>118</v>
      </c>
      <c r="D32" s="83">
        <v>1</v>
      </c>
      <c r="E32" s="83">
        <v>0</v>
      </c>
      <c r="F32" s="68">
        <v>40.111030578613281</v>
      </c>
      <c r="G32" s="83">
        <v>0.36102908849716187</v>
      </c>
      <c r="H32" s="68">
        <v>62</v>
      </c>
      <c r="I32" s="83">
        <v>0.62000000476837158</v>
      </c>
      <c r="J32" s="83">
        <v>0.43548300862312317</v>
      </c>
      <c r="K32" s="83">
        <v>0.71745520830154419</v>
      </c>
      <c r="L32" s="83">
        <v>0.60698282718658447</v>
      </c>
    </row>
    <row r="33" spans="1:12" x14ac:dyDescent="0.2">
      <c r="A33" s="2">
        <v>3</v>
      </c>
      <c r="B33" s="2">
        <v>1</v>
      </c>
      <c r="C33" t="s">
        <v>120</v>
      </c>
      <c r="D33" s="83">
        <v>1</v>
      </c>
      <c r="E33" s="83">
        <v>0</v>
      </c>
      <c r="F33" s="68">
        <v>5.9649505615234375</v>
      </c>
      <c r="G33" s="83">
        <v>0.38774114847183228</v>
      </c>
      <c r="H33" s="68">
        <v>2.7999999523162842</v>
      </c>
      <c r="I33" s="83">
        <v>0.47999998927116394</v>
      </c>
      <c r="J33" s="83">
        <v>-0.75628137588500977</v>
      </c>
      <c r="K33" s="83">
        <v>0.61704391241073608</v>
      </c>
      <c r="L33" s="83">
        <v>-1.2256524562835693</v>
      </c>
    </row>
    <row r="34" spans="1:12" x14ac:dyDescent="0.2">
      <c r="A34" s="2">
        <v>4</v>
      </c>
      <c r="B34" s="2">
        <v>1</v>
      </c>
      <c r="C34" t="s">
        <v>121</v>
      </c>
      <c r="D34" s="83">
        <v>1</v>
      </c>
      <c r="E34" s="83">
        <v>0</v>
      </c>
      <c r="F34" s="68">
        <v>13.600377082824707</v>
      </c>
      <c r="G34" s="83">
        <v>0.53771740198135376</v>
      </c>
      <c r="H34" s="68">
        <v>23.700000762939453</v>
      </c>
      <c r="I34" s="83">
        <v>0.52999997138977051</v>
      </c>
      <c r="J34" s="83">
        <v>0.5553775429725647</v>
      </c>
      <c r="K34" s="83">
        <v>0.75500988960266113</v>
      </c>
      <c r="L34" s="83">
        <v>0.73558974266052246</v>
      </c>
    </row>
    <row r="35" spans="1:12" x14ac:dyDescent="0.2">
      <c r="A35" s="2">
        <v>5</v>
      </c>
      <c r="B35" s="2">
        <v>1</v>
      </c>
      <c r="C35" t="s">
        <v>122</v>
      </c>
      <c r="D35" s="83">
        <v>1</v>
      </c>
      <c r="E35" s="83">
        <v>0</v>
      </c>
      <c r="F35" s="68">
        <v>6.9323534965515137</v>
      </c>
      <c r="G35" s="83">
        <v>0.35706770420074463</v>
      </c>
      <c r="H35" s="68">
        <v>7.1999998092651367</v>
      </c>
      <c r="I35" s="83">
        <v>0.61000001430511475</v>
      </c>
      <c r="J35" s="83">
        <v>3.7881635129451752E-2</v>
      </c>
      <c r="K35" s="83">
        <v>0.70682203769683838</v>
      </c>
      <c r="L35" s="83">
        <v>5.3594302386045456E-2</v>
      </c>
    </row>
    <row r="36" spans="1:12" x14ac:dyDescent="0.2">
      <c r="A36" s="2">
        <v>6</v>
      </c>
      <c r="B36" s="2">
        <v>1</v>
      </c>
      <c r="C36" t="s">
        <v>123</v>
      </c>
      <c r="D36" s="83">
        <v>1</v>
      </c>
      <c r="E36" s="83">
        <v>0</v>
      </c>
      <c r="F36" s="68">
        <v>6.9231500625610352</v>
      </c>
      <c r="G36" s="83">
        <v>0.3650529682636261</v>
      </c>
      <c r="H36" s="68">
        <v>8.6999998092651367</v>
      </c>
      <c r="I36" s="83">
        <v>0.43999999761581421</v>
      </c>
      <c r="J36" s="83">
        <v>0.22845213115215302</v>
      </c>
      <c r="K36" s="83">
        <v>0.5717199444770813</v>
      </c>
      <c r="L36" s="83">
        <v>0.399587482213974</v>
      </c>
    </row>
    <row r="37" spans="1:12" x14ac:dyDescent="0.2">
      <c r="A37" s="2">
        <v>7</v>
      </c>
      <c r="B37" s="2">
        <v>1</v>
      </c>
      <c r="C37" t="s">
        <v>124</v>
      </c>
      <c r="D37" s="83">
        <v>1</v>
      </c>
      <c r="E37" s="83">
        <v>0</v>
      </c>
      <c r="F37" s="68">
        <v>5.500551700592041</v>
      </c>
      <c r="G37" s="83">
        <v>0.38276985287666321</v>
      </c>
      <c r="H37" s="68">
        <v>3.5999999046325684</v>
      </c>
      <c r="I37" s="83">
        <v>0.56999999284744263</v>
      </c>
      <c r="J37" s="83">
        <v>-0.4239145815372467</v>
      </c>
      <c r="K37" s="83">
        <v>0.68659502267837524</v>
      </c>
      <c r="L37" s="83">
        <v>-0.61741572618484497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E2E1-B74D-484A-B901-0A038A149B5C}">
  <sheetPr codeName="Sheet6"/>
  <dimension ref="A1:J25"/>
  <sheetViews>
    <sheetView showGridLines="0" workbookViewId="0">
      <selection activeCell="A16" sqref="A16:A24"/>
    </sheetView>
  </sheetViews>
  <sheetFormatPr defaultRowHeight="12.75" x14ac:dyDescent="0.2"/>
  <cols>
    <col min="1" max="1" width="6" customWidth="1"/>
    <col min="2" max="2" width="21.42578125" customWidth="1"/>
    <col min="3" max="3" width="8.28515625" customWidth="1"/>
    <col min="4" max="7" width="10.85546875" customWidth="1"/>
    <col min="8" max="8" width="11.42578125" customWidth="1"/>
    <col min="9" max="10" width="10.85546875" customWidth="1"/>
  </cols>
  <sheetData>
    <row r="1" spans="1:10" x14ac:dyDescent="0.2">
      <c r="A1" s="9" t="s">
        <v>50</v>
      </c>
      <c r="B1" s="9"/>
    </row>
    <row r="2" spans="1:10" x14ac:dyDescent="0.2">
      <c r="A2" s="70" t="s">
        <v>156</v>
      </c>
      <c r="B2" s="9"/>
      <c r="C2" s="69"/>
      <c r="D2" s="77"/>
      <c r="E2" s="78"/>
      <c r="F2" s="77"/>
      <c r="G2" s="79"/>
      <c r="H2" s="79"/>
      <c r="I2" s="79"/>
      <c r="J2" s="79"/>
    </row>
    <row r="3" spans="1:10" x14ac:dyDescent="0.2">
      <c r="A3" s="69"/>
      <c r="B3" s="69"/>
      <c r="C3" s="69"/>
      <c r="D3" s="77" t="s">
        <v>145</v>
      </c>
      <c r="E3" s="78" t="s">
        <v>147</v>
      </c>
      <c r="F3" s="77" t="s">
        <v>149</v>
      </c>
      <c r="G3" s="79"/>
      <c r="H3" s="95" t="s">
        <v>26</v>
      </c>
      <c r="I3" s="79"/>
      <c r="J3" s="79"/>
    </row>
    <row r="4" spans="1:10" x14ac:dyDescent="0.2">
      <c r="A4" s="69"/>
      <c r="B4" s="69"/>
      <c r="C4" s="69" t="s">
        <v>144</v>
      </c>
      <c r="D4" s="77" t="s">
        <v>146</v>
      </c>
      <c r="E4" s="78" t="s">
        <v>148</v>
      </c>
      <c r="F4" s="77" t="s">
        <v>150</v>
      </c>
      <c r="G4" s="79" t="s">
        <v>157</v>
      </c>
      <c r="H4" s="79" t="s">
        <v>151</v>
      </c>
      <c r="I4" s="79" t="s">
        <v>152</v>
      </c>
      <c r="J4" s="79" t="s">
        <v>153</v>
      </c>
    </row>
    <row r="5" spans="1:10" ht="14.25" x14ac:dyDescent="0.2">
      <c r="A5" s="72" t="s">
        <v>251</v>
      </c>
      <c r="B5" s="72" t="s">
        <v>143</v>
      </c>
      <c r="C5" s="73" t="s">
        <v>251</v>
      </c>
      <c r="D5" s="87" t="s">
        <v>185</v>
      </c>
      <c r="E5" s="81" t="s">
        <v>155</v>
      </c>
      <c r="F5" s="80" t="s">
        <v>154</v>
      </c>
      <c r="G5" s="82" t="s">
        <v>158</v>
      </c>
      <c r="H5" s="88" t="s">
        <v>186</v>
      </c>
      <c r="I5" s="88" t="s">
        <v>186</v>
      </c>
      <c r="J5" s="88" t="s">
        <v>185</v>
      </c>
    </row>
    <row r="6" spans="1:10" x14ac:dyDescent="0.2">
      <c r="A6" s="2">
        <v>1</v>
      </c>
      <c r="B6" t="s">
        <v>118</v>
      </c>
      <c r="C6" s="2">
        <v>2</v>
      </c>
      <c r="D6" s="68">
        <v>6989.60009765625</v>
      </c>
      <c r="E6" s="86">
        <v>1.4421426458284259E-3</v>
      </c>
      <c r="F6" s="68">
        <v>832.09527587890625</v>
      </c>
      <c r="G6" s="68">
        <v>10401.1904296875</v>
      </c>
      <c r="H6" s="68">
        <v>279863.875</v>
      </c>
      <c r="I6" s="68">
        <v>78008.9296875</v>
      </c>
      <c r="J6" s="68">
        <v>9043.1015625</v>
      </c>
    </row>
    <row r="7" spans="1:10" x14ac:dyDescent="0.2">
      <c r="A7" s="2">
        <v>2</v>
      </c>
      <c r="B7" t="s">
        <v>119</v>
      </c>
      <c r="C7" s="2">
        <v>3</v>
      </c>
      <c r="D7" s="68">
        <v>7110.39990234375</v>
      </c>
      <c r="E7" s="86">
        <v>2.5411231443285942E-2</v>
      </c>
      <c r="F7" s="68">
        <v>282.15872192382813</v>
      </c>
      <c r="G7" s="68">
        <v>590.2901611328125</v>
      </c>
      <c r="H7" s="68">
        <v>31845.498046875</v>
      </c>
      <c r="I7" s="68">
        <v>4427.17626953125</v>
      </c>
      <c r="J7" s="68">
        <v>22018.01171875</v>
      </c>
    </row>
    <row r="8" spans="1:10" x14ac:dyDescent="0.2">
      <c r="A8" s="2">
        <v>3</v>
      </c>
      <c r="B8" t="s">
        <v>120</v>
      </c>
      <c r="C8" s="2">
        <v>7</v>
      </c>
      <c r="D8" s="68">
        <v>7088.19970703125</v>
      </c>
      <c r="E8" s="86">
        <v>3.1179148703813553E-2</v>
      </c>
      <c r="F8" s="68">
        <v>281.27777099609375</v>
      </c>
      <c r="G8" s="68">
        <v>481.09075927734375</v>
      </c>
      <c r="H8" s="68">
        <v>21914.216796875</v>
      </c>
      <c r="I8" s="68">
        <v>3608.1806640625</v>
      </c>
      <c r="J8" s="68">
        <v>17980.921875</v>
      </c>
    </row>
    <row r="9" spans="1:10" x14ac:dyDescent="0.2">
      <c r="A9" s="2">
        <v>4</v>
      </c>
      <c r="B9" t="s">
        <v>121</v>
      </c>
      <c r="C9" s="2">
        <v>5</v>
      </c>
      <c r="D9" s="68">
        <v>3338.60009765625</v>
      </c>
      <c r="E9" s="86">
        <v>6.5165027044713497E-3</v>
      </c>
      <c r="F9" s="68">
        <v>397.45242309570313</v>
      </c>
      <c r="G9" s="68">
        <v>2301.84814453125</v>
      </c>
      <c r="H9" s="68">
        <v>32454.94921875</v>
      </c>
      <c r="I9" s="68">
        <v>17263.861328125</v>
      </c>
      <c r="J9" s="68">
        <v>1468.8768310546875</v>
      </c>
    </row>
    <row r="10" spans="1:10" x14ac:dyDescent="0.2">
      <c r="A10" s="2">
        <v>5</v>
      </c>
      <c r="B10" t="s">
        <v>122</v>
      </c>
      <c r="C10" s="2">
        <v>6</v>
      </c>
      <c r="D10" s="68">
        <v>3372.5</v>
      </c>
      <c r="E10" s="86">
        <v>2.678784541785717E-2</v>
      </c>
      <c r="F10" s="68">
        <v>267.65872192382813</v>
      </c>
      <c r="G10" s="68">
        <v>559.9554443359375</v>
      </c>
      <c r="H10" s="68">
        <v>7552.24365234375</v>
      </c>
      <c r="I10" s="68">
        <v>4199.666015625</v>
      </c>
      <c r="J10" s="68">
        <v>1346.1270751953125</v>
      </c>
    </row>
    <row r="11" spans="1:10" x14ac:dyDescent="0.2">
      <c r="A11" s="2">
        <v>6</v>
      </c>
      <c r="B11" t="s">
        <v>123</v>
      </c>
      <c r="C11" s="2">
        <v>7</v>
      </c>
      <c r="D11" s="68">
        <v>3475</v>
      </c>
      <c r="E11" s="86">
        <v>6.3211508095264435E-2</v>
      </c>
      <c r="F11" s="68">
        <v>165.4761962890625</v>
      </c>
      <c r="G11" s="68">
        <v>237.29855346679688</v>
      </c>
      <c r="H11" s="68">
        <v>6473.580078125</v>
      </c>
      <c r="I11" s="68">
        <v>1779.7391357421875</v>
      </c>
      <c r="J11" s="68">
        <v>4582.4404296875</v>
      </c>
    </row>
    <row r="12" spans="1:10" x14ac:dyDescent="0.2">
      <c r="A12" s="2">
        <v>7</v>
      </c>
      <c r="B12" t="s">
        <v>124</v>
      </c>
      <c r="C12" s="2">
        <v>0</v>
      </c>
      <c r="D12" s="68">
        <v>10555.7998046875</v>
      </c>
      <c r="E12" s="86">
        <v>1.0384812019765377E-2</v>
      </c>
      <c r="F12" s="68">
        <v>1256.6429443359375</v>
      </c>
      <c r="G12" s="68">
        <v>385.17788696289063</v>
      </c>
      <c r="H12" s="68">
        <v>19633.017578125</v>
      </c>
      <c r="I12" s="68">
        <v>770.35577392578125</v>
      </c>
      <c r="J12" s="68">
        <v>0</v>
      </c>
    </row>
    <row r="14" spans="1:10" x14ac:dyDescent="0.2">
      <c r="A14" s="9" t="s">
        <v>25</v>
      </c>
      <c r="D14" s="9"/>
    </row>
    <row r="15" spans="1:10" x14ac:dyDescent="0.2">
      <c r="C15" s="71" t="s">
        <v>77</v>
      </c>
      <c r="D15" s="71" t="s">
        <v>17</v>
      </c>
      <c r="E15" s="71" t="s">
        <v>18</v>
      </c>
      <c r="F15" s="71" t="s">
        <v>19</v>
      </c>
      <c r="G15" s="71" t="s">
        <v>20</v>
      </c>
      <c r="H15" s="71" t="s">
        <v>21</v>
      </c>
    </row>
    <row r="16" spans="1:10" ht="14.25" x14ac:dyDescent="0.2">
      <c r="A16" s="73" t="s">
        <v>251</v>
      </c>
      <c r="B16" s="74" t="s">
        <v>143</v>
      </c>
      <c r="C16" s="76" t="s">
        <v>81</v>
      </c>
      <c r="D16" s="75" t="s">
        <v>22</v>
      </c>
      <c r="E16" s="75" t="s">
        <v>23</v>
      </c>
      <c r="F16" s="76" t="s">
        <v>24</v>
      </c>
      <c r="G16" s="75" t="s">
        <v>23</v>
      </c>
      <c r="H16" s="75" t="s">
        <v>80</v>
      </c>
    </row>
    <row r="17" spans="1:8" x14ac:dyDescent="0.2">
      <c r="A17" s="2"/>
    </row>
    <row r="18" spans="1:8" x14ac:dyDescent="0.2">
      <c r="A18" s="2">
        <v>1</v>
      </c>
      <c r="B18" t="s">
        <v>118</v>
      </c>
      <c r="C18" s="68">
        <v>8.3999996185302734</v>
      </c>
      <c r="D18" s="68">
        <v>1.2000000476837158</v>
      </c>
      <c r="E18" s="68">
        <v>15</v>
      </c>
      <c r="F18" s="68">
        <v>10.079999923706055</v>
      </c>
      <c r="G18" s="68">
        <v>0.56000000238418579</v>
      </c>
      <c r="H18" s="68">
        <v>26.785715103149414</v>
      </c>
    </row>
    <row r="19" spans="1:8" x14ac:dyDescent="0.2">
      <c r="A19" s="2">
        <v>2</v>
      </c>
      <c r="B19" t="s">
        <v>119</v>
      </c>
      <c r="C19" s="68">
        <v>25.200000762939453</v>
      </c>
      <c r="D19" s="68">
        <v>7.1700000762939453</v>
      </c>
      <c r="E19" s="68">
        <v>15</v>
      </c>
      <c r="F19" s="68">
        <v>180.68400573730469</v>
      </c>
      <c r="G19" s="68">
        <v>1.6800000667572021</v>
      </c>
      <c r="H19" s="68">
        <v>8.9285707473754883</v>
      </c>
    </row>
    <row r="20" spans="1:8" x14ac:dyDescent="0.2">
      <c r="A20" s="2">
        <v>3</v>
      </c>
      <c r="B20" t="s">
        <v>120</v>
      </c>
      <c r="C20" s="68">
        <v>25.200000762939453</v>
      </c>
      <c r="D20" s="68">
        <v>8.7700004577636719</v>
      </c>
      <c r="E20" s="68">
        <v>15</v>
      </c>
      <c r="F20" s="68">
        <v>221.00401306152344</v>
      </c>
      <c r="G20" s="68">
        <v>1.6800000667572021</v>
      </c>
      <c r="H20" s="68">
        <v>8.9285707473754883</v>
      </c>
    </row>
    <row r="21" spans="1:8" x14ac:dyDescent="0.2">
      <c r="A21" s="2">
        <v>4</v>
      </c>
      <c r="B21" t="s">
        <v>121</v>
      </c>
      <c r="C21" s="68">
        <v>8.3999996185302734</v>
      </c>
      <c r="D21" s="68">
        <v>2.5899999141693115</v>
      </c>
      <c r="E21" s="68">
        <v>15</v>
      </c>
      <c r="F21" s="68">
        <v>21.755998611450195</v>
      </c>
      <c r="G21" s="68">
        <v>0.56000000238418579</v>
      </c>
      <c r="H21" s="68">
        <v>26.785715103149414</v>
      </c>
    </row>
    <row r="22" spans="1:8" x14ac:dyDescent="0.2">
      <c r="A22" s="2">
        <v>5</v>
      </c>
      <c r="B22" t="s">
        <v>122</v>
      </c>
      <c r="C22" s="68">
        <v>12.600000381469727</v>
      </c>
      <c r="D22" s="68">
        <v>7.1700000762939453</v>
      </c>
      <c r="E22" s="68">
        <v>15</v>
      </c>
      <c r="F22" s="68">
        <v>90.342002868652344</v>
      </c>
      <c r="G22" s="68">
        <v>0.84000003337860107</v>
      </c>
      <c r="H22" s="68">
        <v>17.857141494750977</v>
      </c>
    </row>
    <row r="23" spans="1:8" x14ac:dyDescent="0.2">
      <c r="A23" s="2">
        <v>6</v>
      </c>
      <c r="B23" t="s">
        <v>123</v>
      </c>
      <c r="C23" s="68">
        <v>21</v>
      </c>
      <c r="D23" s="68">
        <v>10.460000038146973</v>
      </c>
      <c r="E23" s="68">
        <v>15</v>
      </c>
      <c r="F23" s="68">
        <v>219.66000366210938</v>
      </c>
      <c r="G23" s="68">
        <v>1.3999999761581421</v>
      </c>
      <c r="H23" s="68">
        <v>10.714285850524902</v>
      </c>
    </row>
    <row r="24" spans="1:8" x14ac:dyDescent="0.2">
      <c r="A24" s="2">
        <v>7</v>
      </c>
      <c r="B24" t="s">
        <v>124</v>
      </c>
      <c r="C24" s="68">
        <v>8.3999996185302734</v>
      </c>
      <c r="D24" s="68">
        <v>13.050000190734863</v>
      </c>
      <c r="E24" s="68">
        <v>4</v>
      </c>
      <c r="F24" s="68">
        <v>109.6199951171875</v>
      </c>
      <c r="G24" s="68">
        <v>2.0999999046325684</v>
      </c>
      <c r="H24" s="68">
        <v>1.9047620296478271</v>
      </c>
    </row>
    <row r="25" spans="1:8" x14ac:dyDescent="0.2">
      <c r="A25" t="s">
        <v>456</v>
      </c>
      <c r="C25" s="68">
        <v>109.19999694824219</v>
      </c>
      <c r="D25" s="68">
        <v>7.8126926422119141</v>
      </c>
      <c r="F25" s="68">
        <v>853.14599609375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0AE4-2599-4364-8A89-BF4A075C70A0}">
  <sheetPr codeName="Sheet7"/>
  <dimension ref="A1:K280"/>
  <sheetViews>
    <sheetView showGridLines="0" workbookViewId="0">
      <selection activeCell="G4" sqref="G4:I4"/>
    </sheetView>
  </sheetViews>
  <sheetFormatPr defaultRowHeight="12.75" x14ac:dyDescent="0.2"/>
  <cols>
    <col min="1" max="1" width="4.28515625" customWidth="1"/>
    <col min="2" max="2" width="5.85546875" customWidth="1"/>
    <col min="3" max="3" width="5.140625" customWidth="1"/>
    <col min="4" max="4" width="22.5703125" customWidth="1"/>
    <col min="5" max="6" width="10.28515625" customWidth="1"/>
    <col min="7" max="7" width="10.7109375" customWidth="1"/>
    <col min="8" max="9" width="8.140625" customWidth="1"/>
    <col min="10" max="10" width="7.85546875" customWidth="1"/>
    <col min="11" max="11" width="9.42578125" customWidth="1"/>
    <col min="12" max="12" width="10.7109375" customWidth="1"/>
  </cols>
  <sheetData>
    <row r="1" spans="1:9" x14ac:dyDescent="0.2">
      <c r="A1" s="9" t="s">
        <v>522</v>
      </c>
      <c r="B1" s="9"/>
    </row>
    <row r="2" spans="1:9" x14ac:dyDescent="0.2">
      <c r="A2" s="9" t="s">
        <v>194</v>
      </c>
      <c r="B2" s="9" t="s">
        <v>523</v>
      </c>
    </row>
    <row r="4" spans="1:9" x14ac:dyDescent="0.2">
      <c r="A4" s="19" t="s">
        <v>127</v>
      </c>
      <c r="B4" s="9"/>
      <c r="D4" s="9"/>
      <c r="E4" s="9"/>
      <c r="G4" s="71" t="s">
        <v>615</v>
      </c>
      <c r="H4" s="9"/>
      <c r="I4" s="9" t="s">
        <v>155</v>
      </c>
    </row>
    <row r="5" spans="1:9" x14ac:dyDescent="0.2">
      <c r="A5" s="9"/>
      <c r="B5" s="9"/>
      <c r="D5" s="9"/>
      <c r="E5" s="9"/>
      <c r="F5" s="9"/>
      <c r="G5" s="9"/>
      <c r="H5" s="9"/>
      <c r="I5" s="9"/>
    </row>
    <row r="6" spans="1:9" x14ac:dyDescent="0.2">
      <c r="A6" s="19" t="s">
        <v>128</v>
      </c>
      <c r="B6" s="9"/>
      <c r="D6" s="9"/>
      <c r="E6" s="9"/>
      <c r="F6" s="9"/>
      <c r="G6" s="9"/>
      <c r="H6" s="9"/>
      <c r="I6" s="9"/>
    </row>
    <row r="7" spans="1:9" x14ac:dyDescent="0.2">
      <c r="A7" s="9"/>
      <c r="B7" s="9"/>
      <c r="D7" s="9"/>
      <c r="E7" s="71" t="s">
        <v>77</v>
      </c>
      <c r="F7" s="71" t="s">
        <v>161</v>
      </c>
      <c r="G7" s="71" t="s">
        <v>78</v>
      </c>
      <c r="H7" s="71" t="s">
        <v>184</v>
      </c>
      <c r="I7" s="71" t="s">
        <v>79</v>
      </c>
    </row>
    <row r="8" spans="1:9" ht="14.25" x14ac:dyDescent="0.2">
      <c r="A8" s="74" t="s">
        <v>521</v>
      </c>
      <c r="B8" s="73" t="s">
        <v>159</v>
      </c>
      <c r="C8" s="73" t="s">
        <v>251</v>
      </c>
      <c r="D8" s="74" t="s">
        <v>143</v>
      </c>
      <c r="E8" s="76" t="s">
        <v>81</v>
      </c>
      <c r="F8" s="76" t="s">
        <v>185</v>
      </c>
      <c r="G8" s="76" t="s">
        <v>82</v>
      </c>
      <c r="H8" s="75" t="s">
        <v>80</v>
      </c>
      <c r="I8" s="75" t="s">
        <v>154</v>
      </c>
    </row>
    <row r="10" spans="1:9" x14ac:dyDescent="0.2">
      <c r="A10" s="2">
        <v>1</v>
      </c>
      <c r="B10" s="2">
        <v>1</v>
      </c>
      <c r="C10" s="2">
        <v>1</v>
      </c>
      <c r="D10" t="s">
        <v>538</v>
      </c>
      <c r="E10" s="68"/>
      <c r="F10" s="68">
        <v>19</v>
      </c>
      <c r="G10" s="148">
        <v>0.90250003337860107</v>
      </c>
      <c r="H10" s="83">
        <v>5.000000074505806E-2</v>
      </c>
      <c r="I10" s="83"/>
    </row>
    <row r="11" spans="1:9" x14ac:dyDescent="0.2">
      <c r="A11" s="2">
        <v>2</v>
      </c>
      <c r="B11" s="2">
        <v>1</v>
      </c>
      <c r="C11" s="2">
        <v>1</v>
      </c>
      <c r="D11" t="s">
        <v>539</v>
      </c>
      <c r="E11" s="68"/>
      <c r="F11" s="68">
        <v>621</v>
      </c>
      <c r="G11" s="148">
        <v>964.1025390625</v>
      </c>
      <c r="H11" s="83">
        <v>5.000000074505806E-2</v>
      </c>
      <c r="I11" s="83"/>
    </row>
    <row r="12" spans="1:9" x14ac:dyDescent="0.2">
      <c r="A12" s="2">
        <v>3</v>
      </c>
      <c r="B12" s="2">
        <v>1</v>
      </c>
      <c r="C12" s="2">
        <v>1</v>
      </c>
      <c r="D12" t="s">
        <v>540</v>
      </c>
      <c r="E12" s="68"/>
      <c r="F12" s="68">
        <v>371</v>
      </c>
      <c r="G12" s="148">
        <v>344.10250854492188</v>
      </c>
      <c r="H12" s="83">
        <v>5.000000074505806E-2</v>
      </c>
      <c r="I12" s="83"/>
    </row>
    <row r="13" spans="1:9" x14ac:dyDescent="0.2">
      <c r="A13" s="2">
        <v>4</v>
      </c>
      <c r="B13" s="2">
        <v>1</v>
      </c>
      <c r="C13" s="2">
        <v>1</v>
      </c>
      <c r="D13" t="s">
        <v>541</v>
      </c>
      <c r="E13" s="68"/>
      <c r="F13" s="68">
        <v>16</v>
      </c>
      <c r="G13" s="148">
        <v>10.24000072479248</v>
      </c>
      <c r="H13" s="83">
        <v>0.20000000298023224</v>
      </c>
      <c r="I13" s="83"/>
    </row>
    <row r="14" spans="1:9" x14ac:dyDescent="0.2">
      <c r="A14" s="2">
        <v>5</v>
      </c>
      <c r="B14" s="2">
        <v>1</v>
      </c>
      <c r="C14" s="2">
        <v>1</v>
      </c>
      <c r="D14" t="s">
        <v>542</v>
      </c>
      <c r="E14" s="68"/>
      <c r="F14" s="68">
        <v>62</v>
      </c>
      <c r="G14" s="148">
        <v>153.760009765625</v>
      </c>
      <c r="H14" s="83">
        <v>0.20000000298023224</v>
      </c>
      <c r="I14" s="83"/>
    </row>
    <row r="15" spans="1:9" x14ac:dyDescent="0.2">
      <c r="A15" s="2">
        <v>6</v>
      </c>
      <c r="B15" s="2">
        <v>3</v>
      </c>
      <c r="C15" s="2">
        <v>1</v>
      </c>
      <c r="D15" t="s">
        <v>543</v>
      </c>
      <c r="E15" s="68"/>
      <c r="F15" s="68">
        <v>0.74000000953674316</v>
      </c>
      <c r="G15" s="148">
        <v>1.369000063277781E-3</v>
      </c>
      <c r="H15" s="83">
        <v>5.000000074505806E-2</v>
      </c>
      <c r="I15" s="83"/>
    </row>
    <row r="16" spans="1:9" x14ac:dyDescent="0.2">
      <c r="A16" s="2">
        <v>7</v>
      </c>
      <c r="B16" s="2">
        <v>1</v>
      </c>
      <c r="C16" s="2">
        <v>2</v>
      </c>
      <c r="D16" t="s">
        <v>545</v>
      </c>
      <c r="E16" s="68"/>
      <c r="F16" s="68">
        <v>14</v>
      </c>
      <c r="G16" s="148">
        <v>0.49000000953674316</v>
      </c>
      <c r="H16" s="83">
        <v>5.000000074505806E-2</v>
      </c>
      <c r="I16" s="83"/>
    </row>
    <row r="17" spans="1:9" x14ac:dyDescent="0.2">
      <c r="A17" s="2">
        <v>8</v>
      </c>
      <c r="B17" s="2">
        <v>1</v>
      </c>
      <c r="C17" s="2">
        <v>2</v>
      </c>
      <c r="D17" t="s">
        <v>546</v>
      </c>
      <c r="E17" s="68"/>
      <c r="F17" s="68">
        <v>35</v>
      </c>
      <c r="G17" s="148">
        <v>49</v>
      </c>
      <c r="H17" s="83">
        <v>0.20000000298023224</v>
      </c>
      <c r="I17" s="83"/>
    </row>
    <row r="18" spans="1:9" x14ac:dyDescent="0.2">
      <c r="A18" s="2">
        <v>9</v>
      </c>
      <c r="B18" s="2">
        <v>1</v>
      </c>
      <c r="C18" s="2">
        <v>2</v>
      </c>
      <c r="D18" t="s">
        <v>547</v>
      </c>
      <c r="E18" s="68"/>
      <c r="F18" s="68">
        <v>365</v>
      </c>
      <c r="G18" s="148">
        <v>5329</v>
      </c>
      <c r="H18" s="83">
        <v>0.20000000298023224</v>
      </c>
      <c r="I18" s="83"/>
    </row>
    <row r="19" spans="1:9" x14ac:dyDescent="0.2">
      <c r="A19" s="2">
        <v>10</v>
      </c>
      <c r="B19" s="2">
        <v>1</v>
      </c>
      <c r="C19" s="2">
        <v>2</v>
      </c>
      <c r="D19" t="s">
        <v>548</v>
      </c>
      <c r="E19" s="68"/>
      <c r="F19" s="68">
        <v>95</v>
      </c>
      <c r="G19" s="148">
        <v>22.5625</v>
      </c>
      <c r="H19" s="83">
        <v>5.000000074505806E-2</v>
      </c>
      <c r="I19" s="83"/>
    </row>
    <row r="20" spans="1:9" x14ac:dyDescent="0.2">
      <c r="A20" s="2">
        <v>11</v>
      </c>
      <c r="B20" s="2">
        <v>1</v>
      </c>
      <c r="C20" s="2">
        <v>2</v>
      </c>
      <c r="D20" t="s">
        <v>549</v>
      </c>
      <c r="E20" s="68"/>
      <c r="F20" s="68">
        <v>33</v>
      </c>
      <c r="G20" s="148">
        <v>43.560001373291016</v>
      </c>
      <c r="H20" s="83">
        <v>0.20000000298023224</v>
      </c>
      <c r="I20" s="83"/>
    </row>
    <row r="21" spans="1:9" x14ac:dyDescent="0.2">
      <c r="A21" s="2">
        <v>12</v>
      </c>
      <c r="B21" s="2">
        <v>1</v>
      </c>
      <c r="C21" s="2">
        <v>2</v>
      </c>
      <c r="D21" t="s">
        <v>550</v>
      </c>
      <c r="E21" s="68"/>
      <c r="F21" s="68">
        <v>48</v>
      </c>
      <c r="G21" s="148">
        <v>92.160003662109375</v>
      </c>
      <c r="H21" s="83">
        <v>0.20000000298023224</v>
      </c>
      <c r="I21" s="83"/>
    </row>
    <row r="22" spans="1:9" x14ac:dyDescent="0.2">
      <c r="A22" s="2">
        <v>13</v>
      </c>
      <c r="B22" s="2">
        <v>3</v>
      </c>
      <c r="C22" s="2">
        <v>2</v>
      </c>
      <c r="D22" t="s">
        <v>551</v>
      </c>
      <c r="E22" s="68"/>
      <c r="F22" s="68">
        <v>1.2999999523162842</v>
      </c>
      <c r="G22" s="148">
        <v>4.2249998077750206E-3</v>
      </c>
      <c r="H22" s="83">
        <v>5.000000074505806E-2</v>
      </c>
      <c r="I22" s="83"/>
    </row>
    <row r="23" spans="1:9" x14ac:dyDescent="0.2">
      <c r="A23" s="2">
        <v>14</v>
      </c>
      <c r="B23" s="2">
        <v>3</v>
      </c>
      <c r="C23" s="2">
        <v>2</v>
      </c>
      <c r="D23" t="s">
        <v>552</v>
      </c>
      <c r="E23" s="68"/>
      <c r="F23" s="68">
        <v>24</v>
      </c>
      <c r="G23" s="148">
        <v>1.440000057220459</v>
      </c>
      <c r="H23" s="83">
        <v>5.000000074505806E-2</v>
      </c>
      <c r="I23" s="83"/>
    </row>
    <row r="24" spans="1:9" x14ac:dyDescent="0.2">
      <c r="A24" s="2">
        <v>15</v>
      </c>
      <c r="B24" s="2">
        <v>1</v>
      </c>
      <c r="C24" s="2">
        <v>3</v>
      </c>
      <c r="D24" t="s">
        <v>554</v>
      </c>
      <c r="E24" s="68"/>
      <c r="F24" s="68">
        <v>37</v>
      </c>
      <c r="G24" s="148">
        <v>3.4225001335144043</v>
      </c>
      <c r="H24" s="83">
        <v>5.000000074505806E-2</v>
      </c>
      <c r="I24" s="83"/>
    </row>
    <row r="25" spans="1:9" x14ac:dyDescent="0.2">
      <c r="A25" s="2">
        <v>16</v>
      </c>
      <c r="B25" s="2">
        <v>1</v>
      </c>
      <c r="C25" s="2">
        <v>3</v>
      </c>
      <c r="D25" t="s">
        <v>555</v>
      </c>
      <c r="E25" s="68"/>
      <c r="F25" s="68">
        <v>13</v>
      </c>
      <c r="G25" s="148">
        <v>0.42250001430511475</v>
      </c>
      <c r="H25" s="83">
        <v>5.000000074505806E-2</v>
      </c>
      <c r="I25" s="83"/>
    </row>
    <row r="26" spans="1:9" x14ac:dyDescent="0.2">
      <c r="A26" s="2">
        <v>17</v>
      </c>
      <c r="B26" s="2">
        <v>1</v>
      </c>
      <c r="C26" s="2">
        <v>3</v>
      </c>
      <c r="D26" t="s">
        <v>556</v>
      </c>
      <c r="E26" s="68"/>
      <c r="F26" s="68">
        <v>10</v>
      </c>
      <c r="G26" s="148">
        <v>4</v>
      </c>
      <c r="H26" s="83">
        <v>0.20000000298023224</v>
      </c>
      <c r="I26" s="83"/>
    </row>
    <row r="27" spans="1:9" x14ac:dyDescent="0.2">
      <c r="A27" s="2">
        <v>18</v>
      </c>
      <c r="B27" s="2">
        <v>1</v>
      </c>
      <c r="C27" s="2">
        <v>3</v>
      </c>
      <c r="D27" t="s">
        <v>557</v>
      </c>
      <c r="E27" s="68"/>
      <c r="F27" s="68">
        <v>66</v>
      </c>
      <c r="G27" s="148">
        <v>174.24000549316406</v>
      </c>
      <c r="H27" s="83">
        <v>0.20000000298023224</v>
      </c>
      <c r="I27" s="83"/>
    </row>
    <row r="28" spans="1:9" x14ac:dyDescent="0.2">
      <c r="A28" s="2">
        <v>19</v>
      </c>
      <c r="B28" s="2">
        <v>3</v>
      </c>
      <c r="C28" s="2">
        <v>3</v>
      </c>
      <c r="D28" t="s">
        <v>558</v>
      </c>
      <c r="E28" s="68"/>
      <c r="F28" s="68">
        <v>0.81000000238418579</v>
      </c>
      <c r="G28" s="148">
        <v>1.6402500914409757E-3</v>
      </c>
      <c r="H28" s="83">
        <v>5.000000074505806E-2</v>
      </c>
      <c r="I28" s="83"/>
    </row>
    <row r="29" spans="1:9" x14ac:dyDescent="0.2">
      <c r="A29" s="2">
        <v>20</v>
      </c>
      <c r="B29" s="2">
        <v>3</v>
      </c>
      <c r="C29" s="2">
        <v>3</v>
      </c>
      <c r="D29" t="s">
        <v>559</v>
      </c>
      <c r="E29" s="68"/>
      <c r="F29" s="68">
        <v>0.11999999731779099</v>
      </c>
      <c r="G29" s="148">
        <v>3.600000127335079E-5</v>
      </c>
      <c r="H29" s="83">
        <v>5.000000074505806E-2</v>
      </c>
      <c r="I29" s="83"/>
    </row>
    <row r="30" spans="1:9" x14ac:dyDescent="0.2">
      <c r="A30" s="2">
        <v>21</v>
      </c>
      <c r="B30" s="2">
        <v>1</v>
      </c>
      <c r="C30" s="2">
        <v>4</v>
      </c>
      <c r="D30" t="s">
        <v>561</v>
      </c>
      <c r="E30" s="68"/>
      <c r="F30" s="68">
        <v>1427</v>
      </c>
      <c r="G30" s="148">
        <v>5090.82275390625</v>
      </c>
      <c r="H30" s="83">
        <v>5.000000074505806E-2</v>
      </c>
      <c r="I30" s="83"/>
    </row>
    <row r="31" spans="1:9" x14ac:dyDescent="0.2">
      <c r="A31" s="2">
        <v>22</v>
      </c>
      <c r="B31" s="2">
        <v>1</v>
      </c>
      <c r="C31" s="2">
        <v>4</v>
      </c>
      <c r="D31" t="s">
        <v>562</v>
      </c>
      <c r="E31" s="68"/>
      <c r="F31" s="68">
        <v>80</v>
      </c>
      <c r="G31" s="148">
        <v>16</v>
      </c>
      <c r="H31" s="83">
        <v>5.000000074505806E-2</v>
      </c>
      <c r="I31" s="83"/>
    </row>
    <row r="32" spans="1:9" x14ac:dyDescent="0.2">
      <c r="A32" s="2">
        <v>23</v>
      </c>
      <c r="B32" s="2">
        <v>1</v>
      </c>
      <c r="C32" s="2">
        <v>4</v>
      </c>
      <c r="D32" t="s">
        <v>563</v>
      </c>
      <c r="E32" s="68"/>
      <c r="F32" s="68">
        <v>116</v>
      </c>
      <c r="G32" s="148">
        <v>33.639999389648438</v>
      </c>
      <c r="H32" s="83">
        <v>5.000000074505806E-2</v>
      </c>
      <c r="I32" s="83"/>
    </row>
    <row r="33" spans="1:9" x14ac:dyDescent="0.2">
      <c r="A33" s="2">
        <v>24</v>
      </c>
      <c r="B33" s="2">
        <v>1</v>
      </c>
      <c r="C33" s="2">
        <v>4</v>
      </c>
      <c r="D33" t="s">
        <v>564</v>
      </c>
      <c r="E33" s="68"/>
      <c r="F33" s="68">
        <v>12</v>
      </c>
      <c r="G33" s="148">
        <v>5.7600002288818359</v>
      </c>
      <c r="H33" s="83">
        <v>0.20000000298023224</v>
      </c>
      <c r="I33" s="83"/>
    </row>
    <row r="34" spans="1:9" x14ac:dyDescent="0.2">
      <c r="A34" s="2">
        <v>25</v>
      </c>
      <c r="B34" s="2">
        <v>1</v>
      </c>
      <c r="C34" s="2">
        <v>4</v>
      </c>
      <c r="D34" t="s">
        <v>565</v>
      </c>
      <c r="E34" s="68"/>
      <c r="F34" s="68">
        <v>2.2999999523162842</v>
      </c>
      <c r="G34" s="148">
        <v>0.21159999072551727</v>
      </c>
      <c r="H34" s="83">
        <v>0.20000000298023224</v>
      </c>
      <c r="I34" s="83"/>
    </row>
    <row r="35" spans="1:9" x14ac:dyDescent="0.2">
      <c r="A35" s="2">
        <v>26</v>
      </c>
      <c r="B35" s="2">
        <v>3</v>
      </c>
      <c r="C35" s="2">
        <v>4</v>
      </c>
      <c r="D35" t="s">
        <v>566</v>
      </c>
      <c r="E35" s="68"/>
      <c r="F35" s="68">
        <v>0.64999997615814209</v>
      </c>
      <c r="G35" s="148">
        <v>1.0562499519437551E-3</v>
      </c>
      <c r="H35" s="83">
        <v>5.000000074505806E-2</v>
      </c>
      <c r="I35" s="83"/>
    </row>
    <row r="36" spans="1:9" x14ac:dyDescent="0.2">
      <c r="A36" s="2">
        <v>27</v>
      </c>
      <c r="B36" s="2">
        <v>1</v>
      </c>
      <c r="C36" s="2">
        <v>5</v>
      </c>
      <c r="D36" t="s">
        <v>567</v>
      </c>
      <c r="E36" s="68"/>
      <c r="F36" s="68">
        <v>361</v>
      </c>
      <c r="G36" s="148">
        <v>325.80252075195313</v>
      </c>
      <c r="H36" s="83">
        <v>5.000000074505806E-2</v>
      </c>
      <c r="I36" s="83"/>
    </row>
    <row r="37" spans="1:9" x14ac:dyDescent="0.2">
      <c r="A37" s="2">
        <v>28</v>
      </c>
      <c r="B37" s="2">
        <v>1</v>
      </c>
      <c r="C37" s="2">
        <v>5</v>
      </c>
      <c r="D37" t="s">
        <v>568</v>
      </c>
      <c r="E37" s="68"/>
      <c r="F37" s="68">
        <v>12</v>
      </c>
      <c r="G37" s="148">
        <v>0.36000001430511475</v>
      </c>
      <c r="H37" s="83">
        <v>5.000000074505806E-2</v>
      </c>
      <c r="I37" s="83"/>
    </row>
    <row r="38" spans="1:9" x14ac:dyDescent="0.2">
      <c r="A38" s="2">
        <v>29</v>
      </c>
      <c r="B38" s="2">
        <v>1</v>
      </c>
      <c r="C38" s="2">
        <v>5</v>
      </c>
      <c r="D38" t="s">
        <v>569</v>
      </c>
      <c r="E38" s="68"/>
      <c r="F38" s="68">
        <v>2003</v>
      </c>
      <c r="G38" s="148">
        <v>10030.0224609375</v>
      </c>
      <c r="H38" s="83">
        <v>5.000000074505806E-2</v>
      </c>
      <c r="I38" s="83"/>
    </row>
    <row r="39" spans="1:9" x14ac:dyDescent="0.2">
      <c r="A39" s="2">
        <v>30</v>
      </c>
      <c r="B39" s="2">
        <v>1</v>
      </c>
      <c r="C39" s="2">
        <v>5</v>
      </c>
      <c r="D39" t="s">
        <v>570</v>
      </c>
      <c r="E39" s="68"/>
      <c r="F39" s="68">
        <v>804</v>
      </c>
      <c r="G39" s="148">
        <v>1616.0400390625</v>
      </c>
      <c r="H39" s="83">
        <v>5.000000074505806E-2</v>
      </c>
      <c r="I39" s="83"/>
    </row>
    <row r="40" spans="1:9" x14ac:dyDescent="0.2">
      <c r="A40" s="2">
        <v>31</v>
      </c>
      <c r="B40" s="2">
        <v>1</v>
      </c>
      <c r="C40" s="2">
        <v>5</v>
      </c>
      <c r="D40" t="s">
        <v>571</v>
      </c>
      <c r="E40" s="68"/>
      <c r="F40" s="68">
        <v>84</v>
      </c>
      <c r="G40" s="148">
        <v>17.64000129699707</v>
      </c>
      <c r="H40" s="83">
        <v>5.000000074505806E-2</v>
      </c>
      <c r="I40" s="83"/>
    </row>
    <row r="41" spans="1:9" x14ac:dyDescent="0.2">
      <c r="A41" s="2">
        <v>32</v>
      </c>
      <c r="B41" s="2">
        <v>1</v>
      </c>
      <c r="C41" s="2">
        <v>5</v>
      </c>
      <c r="D41" t="s">
        <v>572</v>
      </c>
      <c r="E41" s="68"/>
      <c r="F41" s="68">
        <v>62</v>
      </c>
      <c r="G41" s="148">
        <v>9.6100006103515625</v>
      </c>
      <c r="H41" s="83">
        <v>5.000000074505806E-2</v>
      </c>
      <c r="I41" s="83"/>
    </row>
    <row r="42" spans="1:9" x14ac:dyDescent="0.2">
      <c r="A42" s="2">
        <v>33</v>
      </c>
      <c r="B42" s="2">
        <v>1</v>
      </c>
      <c r="C42" s="2">
        <v>5</v>
      </c>
      <c r="D42" t="s">
        <v>573</v>
      </c>
      <c r="E42" s="68"/>
      <c r="F42" s="68">
        <v>18</v>
      </c>
      <c r="G42" s="148">
        <v>12.960000038146973</v>
      </c>
      <c r="H42" s="83">
        <v>0.20000000298023224</v>
      </c>
      <c r="I42" s="83"/>
    </row>
    <row r="43" spans="1:9" x14ac:dyDescent="0.2">
      <c r="A43" s="2">
        <v>34</v>
      </c>
      <c r="B43" s="2">
        <v>1</v>
      </c>
      <c r="C43" s="2">
        <v>5</v>
      </c>
      <c r="D43" t="s">
        <v>574</v>
      </c>
      <c r="E43" s="68"/>
      <c r="F43" s="68">
        <v>55</v>
      </c>
      <c r="G43" s="148">
        <v>121</v>
      </c>
      <c r="H43" s="83">
        <v>0.20000000298023224</v>
      </c>
      <c r="I43" s="83"/>
    </row>
    <row r="44" spans="1:9" x14ac:dyDescent="0.2">
      <c r="A44" s="2">
        <v>35</v>
      </c>
      <c r="B44" s="2">
        <v>3</v>
      </c>
      <c r="C44" s="2">
        <v>5</v>
      </c>
      <c r="D44" t="s">
        <v>575</v>
      </c>
      <c r="E44" s="68"/>
      <c r="F44" s="68">
        <v>1.7999999523162842</v>
      </c>
      <c r="G44" s="148">
        <v>8.1000002101063728E-3</v>
      </c>
      <c r="H44" s="83">
        <v>5.000000074505806E-2</v>
      </c>
      <c r="I44" s="83"/>
    </row>
    <row r="45" spans="1:9" x14ac:dyDescent="0.2">
      <c r="A45" s="2">
        <v>36</v>
      </c>
      <c r="B45" s="2">
        <v>1</v>
      </c>
      <c r="C45" s="2">
        <v>6</v>
      </c>
      <c r="D45" t="s">
        <v>578</v>
      </c>
      <c r="E45" s="68"/>
      <c r="F45" s="68">
        <v>58</v>
      </c>
      <c r="G45" s="148">
        <v>8.4099998474121094</v>
      </c>
      <c r="H45" s="83">
        <v>5.000000074505806E-2</v>
      </c>
      <c r="I45" s="83"/>
    </row>
    <row r="46" spans="1:9" x14ac:dyDescent="0.2">
      <c r="A46" s="2">
        <v>37</v>
      </c>
      <c r="B46" s="2">
        <v>1</v>
      </c>
      <c r="C46" s="2">
        <v>6</v>
      </c>
      <c r="D46" t="s">
        <v>579</v>
      </c>
      <c r="E46" s="68"/>
      <c r="F46" s="68">
        <v>16</v>
      </c>
      <c r="G46" s="148">
        <v>10.24000072479248</v>
      </c>
      <c r="H46" s="83">
        <v>0.20000000298023224</v>
      </c>
      <c r="I46" s="83"/>
    </row>
    <row r="47" spans="1:9" x14ac:dyDescent="0.2">
      <c r="A47" s="2">
        <v>38</v>
      </c>
      <c r="B47" s="2">
        <v>3</v>
      </c>
      <c r="C47" s="2">
        <v>6</v>
      </c>
      <c r="D47" t="s">
        <v>580</v>
      </c>
      <c r="E47" s="68"/>
      <c r="F47" s="68">
        <v>0.37999999523162842</v>
      </c>
      <c r="G47" s="148">
        <v>3.6100001307204366E-4</v>
      </c>
      <c r="H47" s="83">
        <v>5.000000074505806E-2</v>
      </c>
      <c r="I47" s="83"/>
    </row>
    <row r="48" spans="1:9" x14ac:dyDescent="0.2">
      <c r="A48" s="2">
        <v>39</v>
      </c>
      <c r="B48" s="2">
        <v>3</v>
      </c>
      <c r="C48" s="2">
        <v>6</v>
      </c>
      <c r="D48" t="s">
        <v>581</v>
      </c>
      <c r="E48" s="68"/>
      <c r="F48" s="68">
        <v>0.41999998688697815</v>
      </c>
      <c r="G48" s="148">
        <v>4.4099998194724321E-4</v>
      </c>
      <c r="H48" s="83">
        <v>5.000000074505806E-2</v>
      </c>
      <c r="I48" s="83"/>
    </row>
    <row r="49" spans="1:9" x14ac:dyDescent="0.2">
      <c r="A49" s="2">
        <v>40</v>
      </c>
      <c r="B49" s="2">
        <v>3</v>
      </c>
      <c r="C49" s="2">
        <v>6</v>
      </c>
      <c r="D49" t="s">
        <v>582</v>
      </c>
      <c r="E49" s="68"/>
      <c r="F49" s="68">
        <v>1</v>
      </c>
      <c r="G49" s="148">
        <v>2.5000001769512892E-3</v>
      </c>
      <c r="H49" s="83">
        <v>5.000000074505806E-2</v>
      </c>
      <c r="I49" s="83"/>
    </row>
    <row r="50" spans="1:9" x14ac:dyDescent="0.2">
      <c r="A50" s="2">
        <v>41</v>
      </c>
      <c r="B50" s="2">
        <v>1</v>
      </c>
      <c r="C50" s="2">
        <v>7</v>
      </c>
      <c r="D50" t="s">
        <v>584</v>
      </c>
      <c r="E50" s="68"/>
      <c r="F50" s="68">
        <v>1.2999999523162842</v>
      </c>
      <c r="G50" s="148">
        <v>6.759999692440033E-2</v>
      </c>
      <c r="H50" s="83">
        <v>0.20000000298023224</v>
      </c>
      <c r="I50" s="83"/>
    </row>
    <row r="51" spans="1:9" x14ac:dyDescent="0.2">
      <c r="A51" s="2">
        <v>42</v>
      </c>
      <c r="B51" s="2">
        <v>3</v>
      </c>
      <c r="C51" s="2">
        <v>7</v>
      </c>
      <c r="D51" t="s">
        <v>585</v>
      </c>
      <c r="E51" s="68"/>
      <c r="F51" s="68">
        <v>5.4000000953674316</v>
      </c>
      <c r="G51" s="148">
        <v>7.2900004684925079E-2</v>
      </c>
      <c r="H51" s="83">
        <v>5.000000074505806E-2</v>
      </c>
      <c r="I51" s="83"/>
    </row>
    <row r="52" spans="1:9" x14ac:dyDescent="0.2">
      <c r="A52" s="2">
        <v>43</v>
      </c>
      <c r="B52" s="2">
        <v>1</v>
      </c>
      <c r="C52" s="2">
        <v>8</v>
      </c>
      <c r="D52" t="s">
        <v>586</v>
      </c>
      <c r="E52" s="68"/>
      <c r="F52" s="68">
        <v>877</v>
      </c>
      <c r="G52" s="148">
        <v>1922.822509765625</v>
      </c>
      <c r="H52" s="83">
        <v>5.000000074505806E-2</v>
      </c>
      <c r="I52" s="83"/>
    </row>
    <row r="53" spans="1:9" x14ac:dyDescent="0.2">
      <c r="A53" s="2">
        <v>44</v>
      </c>
      <c r="B53" s="2">
        <v>1</v>
      </c>
      <c r="C53" s="2">
        <v>8</v>
      </c>
      <c r="D53" t="s">
        <v>587</v>
      </c>
      <c r="E53" s="68"/>
      <c r="F53" s="68">
        <v>58</v>
      </c>
      <c r="G53" s="148">
        <v>134.55999755859375</v>
      </c>
      <c r="H53" s="83">
        <v>0.20000000298023224</v>
      </c>
      <c r="I53" s="83"/>
    </row>
    <row r="54" spans="1:9" x14ac:dyDescent="0.2">
      <c r="A54" s="2">
        <v>45</v>
      </c>
      <c r="B54" s="2">
        <v>3</v>
      </c>
      <c r="C54" s="2">
        <v>8</v>
      </c>
      <c r="D54" t="s">
        <v>588</v>
      </c>
      <c r="E54" s="68"/>
      <c r="F54" s="68">
        <v>11.5</v>
      </c>
      <c r="G54" s="148">
        <v>0.33062499761581421</v>
      </c>
      <c r="H54" s="83">
        <v>5.000000074505806E-2</v>
      </c>
      <c r="I54" s="83"/>
    </row>
    <row r="55" spans="1:9" x14ac:dyDescent="0.2">
      <c r="A55" s="2">
        <v>46</v>
      </c>
      <c r="B55" s="2">
        <v>3</v>
      </c>
      <c r="C55" s="2">
        <v>8</v>
      </c>
      <c r="D55" t="s">
        <v>589</v>
      </c>
      <c r="E55" s="68"/>
      <c r="F55" s="68">
        <v>0.18000000715255737</v>
      </c>
      <c r="G55" s="148">
        <v>8.1000005593523383E-5</v>
      </c>
      <c r="H55" s="83">
        <v>5.000000074505806E-2</v>
      </c>
      <c r="I55" s="83"/>
    </row>
    <row r="56" spans="1:9" x14ac:dyDescent="0.2">
      <c r="A56" s="2">
        <v>47</v>
      </c>
      <c r="B56" s="2">
        <v>1</v>
      </c>
      <c r="C56" s="2">
        <v>9</v>
      </c>
      <c r="D56" t="s">
        <v>590</v>
      </c>
      <c r="E56" s="68"/>
      <c r="F56" s="68">
        <v>15</v>
      </c>
      <c r="G56" s="148">
        <v>9</v>
      </c>
      <c r="H56" s="83">
        <v>0.20000000298023224</v>
      </c>
      <c r="I56" s="83"/>
    </row>
    <row r="57" spans="1:9" x14ac:dyDescent="0.2">
      <c r="A57" s="2">
        <v>48</v>
      </c>
      <c r="B57" s="2">
        <v>1</v>
      </c>
      <c r="C57" s="2">
        <v>9</v>
      </c>
      <c r="D57" t="s">
        <v>591</v>
      </c>
      <c r="E57" s="68"/>
      <c r="F57" s="68">
        <v>40</v>
      </c>
      <c r="G57" s="148">
        <v>64</v>
      </c>
      <c r="H57" s="83">
        <v>0.20000000298023224</v>
      </c>
      <c r="I57" s="83"/>
    </row>
    <row r="58" spans="1:9" x14ac:dyDescent="0.2">
      <c r="A58" s="2">
        <v>49</v>
      </c>
      <c r="B58" s="2">
        <v>1</v>
      </c>
      <c r="C58" s="2">
        <v>9</v>
      </c>
      <c r="D58" t="s">
        <v>592</v>
      </c>
      <c r="E58" s="68"/>
      <c r="F58" s="68">
        <v>1423</v>
      </c>
      <c r="G58" s="148">
        <v>5062.32275390625</v>
      </c>
      <c r="H58" s="83">
        <v>5.000000074505806E-2</v>
      </c>
      <c r="I58" s="83"/>
    </row>
    <row r="59" spans="1:9" x14ac:dyDescent="0.2">
      <c r="A59" s="2">
        <v>50</v>
      </c>
      <c r="B59" s="2">
        <v>1</v>
      </c>
      <c r="C59" s="2">
        <v>9</v>
      </c>
      <c r="D59" t="s">
        <v>593</v>
      </c>
      <c r="E59" s="68"/>
      <c r="F59" s="68">
        <v>34</v>
      </c>
      <c r="G59" s="148">
        <v>46.240001678466797</v>
      </c>
      <c r="H59" s="83">
        <v>0.20000000298023224</v>
      </c>
      <c r="I59" s="83"/>
    </row>
    <row r="60" spans="1:9" x14ac:dyDescent="0.2">
      <c r="A60" s="2">
        <v>51</v>
      </c>
      <c r="B60" s="2">
        <v>1</v>
      </c>
      <c r="C60" s="2">
        <v>10</v>
      </c>
      <c r="D60" t="s">
        <v>594</v>
      </c>
      <c r="E60" s="68"/>
      <c r="F60" s="68">
        <v>13</v>
      </c>
      <c r="G60" s="148">
        <v>0.42250001430511475</v>
      </c>
      <c r="H60" s="83">
        <v>5.000000074505806E-2</v>
      </c>
      <c r="I60" s="83"/>
    </row>
    <row r="61" spans="1:9" x14ac:dyDescent="0.2">
      <c r="A61" s="2">
        <v>52</v>
      </c>
      <c r="B61" s="2">
        <v>1</v>
      </c>
      <c r="C61" s="2">
        <v>10</v>
      </c>
      <c r="D61" t="s">
        <v>595</v>
      </c>
      <c r="E61" s="68"/>
      <c r="F61" s="68">
        <v>40</v>
      </c>
      <c r="G61" s="148">
        <v>64</v>
      </c>
      <c r="H61" s="83">
        <v>0.20000000298023224</v>
      </c>
      <c r="I61" s="83"/>
    </row>
    <row r="62" spans="1:9" x14ac:dyDescent="0.2">
      <c r="A62" s="2">
        <v>53</v>
      </c>
      <c r="B62" s="2">
        <v>1</v>
      </c>
      <c r="C62" s="2">
        <v>11</v>
      </c>
      <c r="D62" t="s">
        <v>598</v>
      </c>
      <c r="E62" s="68"/>
      <c r="F62" s="68">
        <v>39</v>
      </c>
      <c r="G62" s="148">
        <v>60.840000152587891</v>
      </c>
      <c r="H62" s="83">
        <v>0.20000000298023224</v>
      </c>
      <c r="I62" s="83"/>
    </row>
    <row r="63" spans="1:9" x14ac:dyDescent="0.2">
      <c r="A63" s="2">
        <v>54</v>
      </c>
      <c r="B63" s="2">
        <v>1</v>
      </c>
      <c r="C63" s="2">
        <v>11</v>
      </c>
      <c r="D63" t="s">
        <v>599</v>
      </c>
      <c r="E63" s="68"/>
      <c r="F63" s="68">
        <v>16</v>
      </c>
      <c r="G63" s="148">
        <v>10.24000072479248</v>
      </c>
      <c r="H63" s="83">
        <v>0.20000000298023224</v>
      </c>
      <c r="I63" s="83"/>
    </row>
    <row r="64" spans="1:9" x14ac:dyDescent="0.2">
      <c r="A64" s="2">
        <v>55</v>
      </c>
      <c r="B64" s="2">
        <v>1</v>
      </c>
      <c r="C64" s="2">
        <v>11</v>
      </c>
      <c r="D64" t="s">
        <v>600</v>
      </c>
      <c r="E64" s="68"/>
      <c r="F64" s="68">
        <v>2.7999999523162842</v>
      </c>
      <c r="G64" s="148">
        <v>0.31360000371932983</v>
      </c>
      <c r="H64" s="83">
        <v>0.20000000298023224</v>
      </c>
      <c r="I64" s="83"/>
    </row>
    <row r="65" spans="1:9" x14ac:dyDescent="0.2">
      <c r="A65" s="2">
        <v>56</v>
      </c>
      <c r="B65" s="2">
        <v>3</v>
      </c>
      <c r="C65" s="2">
        <v>11</v>
      </c>
      <c r="D65" t="s">
        <v>601</v>
      </c>
      <c r="E65" s="68"/>
      <c r="F65" s="68">
        <v>2.9000000953674316</v>
      </c>
      <c r="G65" s="148">
        <v>2.1025002002716064E-2</v>
      </c>
      <c r="H65" s="83">
        <v>5.000000074505806E-2</v>
      </c>
      <c r="I65" s="83"/>
    </row>
    <row r="66" spans="1:9" x14ac:dyDescent="0.2">
      <c r="A66" s="2">
        <v>57</v>
      </c>
      <c r="B66" s="2">
        <v>3</v>
      </c>
      <c r="C66" s="2">
        <v>11</v>
      </c>
      <c r="D66" t="s">
        <v>602</v>
      </c>
      <c r="E66" s="68"/>
      <c r="F66" s="68">
        <v>1.9999999552965164E-2</v>
      </c>
      <c r="G66" s="148">
        <v>9.9999999747524271E-7</v>
      </c>
      <c r="H66" s="83">
        <v>5.000000074505806E-2</v>
      </c>
      <c r="I66" s="83"/>
    </row>
    <row r="67" spans="1:9" x14ac:dyDescent="0.2">
      <c r="A67" s="2">
        <v>58</v>
      </c>
      <c r="B67" s="2">
        <v>1</v>
      </c>
      <c r="C67" s="2">
        <v>12</v>
      </c>
      <c r="D67" t="s">
        <v>604</v>
      </c>
      <c r="E67" s="68"/>
      <c r="F67" s="68">
        <v>1534</v>
      </c>
      <c r="G67" s="148">
        <v>5882.89013671875</v>
      </c>
      <c r="H67" s="83">
        <v>5.000000074505806E-2</v>
      </c>
      <c r="I67" s="83"/>
    </row>
    <row r="68" spans="1:9" x14ac:dyDescent="0.2">
      <c r="A68" s="2">
        <v>59</v>
      </c>
      <c r="B68" s="2">
        <v>1</v>
      </c>
      <c r="C68" s="2">
        <v>12</v>
      </c>
      <c r="D68" t="s">
        <v>605</v>
      </c>
      <c r="E68" s="68"/>
      <c r="F68" s="68">
        <v>85</v>
      </c>
      <c r="G68" s="148">
        <v>289</v>
      </c>
      <c r="H68" s="83">
        <v>0.20000000298023224</v>
      </c>
      <c r="I68" s="83"/>
    </row>
    <row r="69" spans="1:9" x14ac:dyDescent="0.2">
      <c r="A69" s="2">
        <v>60</v>
      </c>
      <c r="B69" s="2">
        <v>1</v>
      </c>
      <c r="C69" s="2">
        <v>12</v>
      </c>
      <c r="D69" t="s">
        <v>606</v>
      </c>
      <c r="E69" s="68"/>
      <c r="F69" s="68">
        <v>347</v>
      </c>
      <c r="G69" s="148">
        <v>301.02252197265625</v>
      </c>
      <c r="H69" s="83">
        <v>5.000000074505806E-2</v>
      </c>
      <c r="I69" s="83"/>
    </row>
    <row r="70" spans="1:9" x14ac:dyDescent="0.2">
      <c r="A70" s="2">
        <v>61</v>
      </c>
      <c r="B70" s="2">
        <v>1</v>
      </c>
      <c r="C70" s="2">
        <v>12</v>
      </c>
      <c r="D70" t="s">
        <v>607</v>
      </c>
      <c r="E70" s="68"/>
      <c r="F70" s="68">
        <v>43</v>
      </c>
      <c r="G70" s="148">
        <v>73.959999084472656</v>
      </c>
      <c r="H70" s="83">
        <v>0.20000000298023224</v>
      </c>
      <c r="I70" s="83"/>
    </row>
    <row r="71" spans="1:9" x14ac:dyDescent="0.2">
      <c r="A71" s="2">
        <v>62</v>
      </c>
      <c r="B71" s="2">
        <v>3</v>
      </c>
      <c r="C71" s="2">
        <v>12</v>
      </c>
      <c r="D71" t="s">
        <v>608</v>
      </c>
      <c r="E71" s="68"/>
      <c r="F71" s="68">
        <v>1</v>
      </c>
      <c r="G71" s="148">
        <v>2.5000001769512892E-3</v>
      </c>
      <c r="H71" s="83">
        <v>5.000000074505806E-2</v>
      </c>
      <c r="I71" s="83"/>
    </row>
    <row r="72" spans="1:9" x14ac:dyDescent="0.2">
      <c r="A72" s="2">
        <v>63</v>
      </c>
      <c r="B72" s="2">
        <v>1</v>
      </c>
      <c r="C72" s="2">
        <v>13</v>
      </c>
      <c r="D72" t="s">
        <v>609</v>
      </c>
      <c r="E72" s="68"/>
      <c r="F72" s="68">
        <v>56</v>
      </c>
      <c r="G72" s="148">
        <v>7.8400001525878906</v>
      </c>
      <c r="H72" s="83">
        <v>5.000000074505806E-2</v>
      </c>
      <c r="I72" s="83"/>
    </row>
    <row r="73" spans="1:9" x14ac:dyDescent="0.2">
      <c r="A73" s="2">
        <v>64</v>
      </c>
      <c r="B73" s="2">
        <v>1</v>
      </c>
      <c r="C73" s="2">
        <v>13</v>
      </c>
      <c r="D73" t="s">
        <v>610</v>
      </c>
      <c r="E73" s="68"/>
      <c r="F73" s="68">
        <v>366</v>
      </c>
      <c r="G73" s="148">
        <v>334.8900146484375</v>
      </c>
      <c r="H73" s="83">
        <v>5.000000074505806E-2</v>
      </c>
      <c r="I73" s="83"/>
    </row>
    <row r="74" spans="1:9" x14ac:dyDescent="0.2">
      <c r="A74" s="2">
        <v>65</v>
      </c>
      <c r="B74" s="2">
        <v>1</v>
      </c>
      <c r="C74" s="2">
        <v>13</v>
      </c>
      <c r="D74" t="s">
        <v>611</v>
      </c>
      <c r="E74" s="68"/>
      <c r="F74" s="68">
        <v>34</v>
      </c>
      <c r="G74" s="148">
        <v>46.240001678466797</v>
      </c>
      <c r="H74" s="83">
        <v>0.20000000298023224</v>
      </c>
      <c r="I74" s="83"/>
    </row>
    <row r="75" spans="1:9" x14ac:dyDescent="0.2">
      <c r="A75" s="2">
        <v>66</v>
      </c>
      <c r="B75" s="2">
        <v>3</v>
      </c>
      <c r="C75" s="2">
        <v>13</v>
      </c>
      <c r="D75" t="s">
        <v>612</v>
      </c>
      <c r="E75" s="68"/>
      <c r="F75" s="68">
        <v>5.4000001400709152E-2</v>
      </c>
      <c r="G75" s="148">
        <v>7.2900006671261508E-6</v>
      </c>
      <c r="H75" s="83">
        <v>5.000000074505806E-2</v>
      </c>
      <c r="I75" s="83"/>
    </row>
    <row r="76" spans="1:9" x14ac:dyDescent="0.2">
      <c r="A76" s="2">
        <v>67</v>
      </c>
      <c r="B76" s="2">
        <v>4</v>
      </c>
      <c r="C76" s="2">
        <v>13</v>
      </c>
      <c r="D76" t="s">
        <v>613</v>
      </c>
      <c r="E76" s="68"/>
      <c r="F76" s="68">
        <v>12809</v>
      </c>
      <c r="G76" s="148">
        <v>410176.21875</v>
      </c>
      <c r="H76" s="83">
        <v>5.000000074505806E-2</v>
      </c>
      <c r="I76" s="83"/>
    </row>
    <row r="77" spans="1:9" x14ac:dyDescent="0.2">
      <c r="A77" s="2">
        <v>68</v>
      </c>
      <c r="B77" s="2">
        <v>1</v>
      </c>
      <c r="C77" s="2">
        <v>5</v>
      </c>
      <c r="D77" t="s">
        <v>576</v>
      </c>
      <c r="E77" s="68"/>
      <c r="F77" s="68">
        <v>1</v>
      </c>
      <c r="G77" s="148">
        <v>0</v>
      </c>
      <c r="H77" s="83">
        <v>0</v>
      </c>
      <c r="I77" s="83"/>
    </row>
    <row r="78" spans="1:9" x14ac:dyDescent="0.2">
      <c r="A78" s="2">
        <v>69</v>
      </c>
      <c r="B78" s="2">
        <v>4</v>
      </c>
      <c r="C78" s="2">
        <v>2</v>
      </c>
      <c r="D78" t="s">
        <v>553</v>
      </c>
      <c r="E78" s="68"/>
      <c r="F78" s="68">
        <v>24.100000381469727</v>
      </c>
      <c r="G78" s="148">
        <v>1.4520250558853149</v>
      </c>
      <c r="H78" s="83">
        <v>5.000000074505806E-2</v>
      </c>
      <c r="I78" s="83"/>
    </row>
    <row r="79" spans="1:9" x14ac:dyDescent="0.2">
      <c r="A79" s="2">
        <v>70</v>
      </c>
      <c r="B79" s="2">
        <v>4</v>
      </c>
      <c r="C79" s="2">
        <v>3</v>
      </c>
      <c r="D79" t="s">
        <v>560</v>
      </c>
      <c r="E79" s="68"/>
      <c r="F79" s="68">
        <v>0.80000001192092896</v>
      </c>
      <c r="G79" s="148">
        <v>1.6000000759959221E-3</v>
      </c>
      <c r="H79" s="83">
        <v>5.000000074505806E-2</v>
      </c>
      <c r="I79" s="83"/>
    </row>
    <row r="80" spans="1:9" x14ac:dyDescent="0.2">
      <c r="A80" s="2">
        <v>71</v>
      </c>
      <c r="B80" s="2">
        <v>4</v>
      </c>
      <c r="C80" s="2">
        <v>6</v>
      </c>
      <c r="D80" t="s">
        <v>583</v>
      </c>
      <c r="E80" s="68"/>
      <c r="F80" s="68">
        <v>11.5</v>
      </c>
      <c r="G80" s="148">
        <v>0.33062499761581421</v>
      </c>
      <c r="H80" s="83">
        <v>5.000000074505806E-2</v>
      </c>
      <c r="I80" s="83"/>
    </row>
    <row r="81" spans="1:11" x14ac:dyDescent="0.2">
      <c r="A81" s="2">
        <v>72</v>
      </c>
      <c r="B81" s="2">
        <v>4</v>
      </c>
      <c r="C81" s="2">
        <v>5</v>
      </c>
      <c r="D81" t="s">
        <v>577</v>
      </c>
      <c r="E81" s="68"/>
      <c r="F81" s="68">
        <v>7.5999999046325684</v>
      </c>
      <c r="G81" s="148">
        <v>0.14440000057220459</v>
      </c>
      <c r="H81" s="83">
        <v>5.000000074505806E-2</v>
      </c>
      <c r="I81" s="83"/>
    </row>
    <row r="82" spans="1:11" x14ac:dyDescent="0.2">
      <c r="A82" s="2">
        <v>73</v>
      </c>
      <c r="B82" s="2">
        <v>4</v>
      </c>
      <c r="C82" s="2">
        <v>10</v>
      </c>
      <c r="D82" t="s">
        <v>596</v>
      </c>
      <c r="E82" s="68"/>
      <c r="F82" s="68">
        <v>1</v>
      </c>
      <c r="G82" s="148">
        <v>2.5000001769512892E-3</v>
      </c>
      <c r="H82" s="83">
        <v>5.000000074505806E-2</v>
      </c>
      <c r="I82" s="83"/>
    </row>
    <row r="83" spans="1:11" x14ac:dyDescent="0.2">
      <c r="A83" s="2">
        <v>74</v>
      </c>
      <c r="B83" s="2">
        <v>4</v>
      </c>
      <c r="C83" s="2">
        <v>10</v>
      </c>
      <c r="D83" t="s">
        <v>597</v>
      </c>
      <c r="E83" s="68"/>
      <c r="F83" s="68">
        <v>1.1000000238418579</v>
      </c>
      <c r="G83" s="148">
        <v>3.0250002164393663E-3</v>
      </c>
      <c r="H83" s="83">
        <v>5.000000074505806E-2</v>
      </c>
      <c r="I83" s="83"/>
    </row>
    <row r="84" spans="1:11" x14ac:dyDescent="0.2">
      <c r="A84" t="s">
        <v>457</v>
      </c>
      <c r="E84" s="68">
        <v>1179.0999755859375</v>
      </c>
      <c r="F84" s="68">
        <v>1131.93603515625</v>
      </c>
      <c r="G84" s="148">
        <v>0</v>
      </c>
      <c r="H84" s="83">
        <v>0</v>
      </c>
      <c r="I84" s="83">
        <v>0.96000003814697266</v>
      </c>
    </row>
    <row r="85" spans="1:11" x14ac:dyDescent="0.2">
      <c r="A85" t="s">
        <v>458</v>
      </c>
      <c r="E85" s="68"/>
      <c r="F85" s="68">
        <v>11940.3994140625</v>
      </c>
      <c r="G85" s="148">
        <v>0</v>
      </c>
      <c r="H85" s="83">
        <v>0</v>
      </c>
      <c r="I85" s="83"/>
    </row>
    <row r="86" spans="1:11" x14ac:dyDescent="0.2">
      <c r="A86" t="s">
        <v>459</v>
      </c>
      <c r="E86" s="68"/>
      <c r="F86" s="68">
        <v>52.274002075195313</v>
      </c>
      <c r="G86" s="148">
        <v>0</v>
      </c>
      <c r="H86" s="83">
        <v>0</v>
      </c>
      <c r="I86" s="83"/>
    </row>
    <row r="87" spans="1:11" x14ac:dyDescent="0.2">
      <c r="A87" t="s">
        <v>460</v>
      </c>
      <c r="E87" s="68">
        <v>1179.0999755859375</v>
      </c>
      <c r="F87" s="68">
        <v>13124.609375</v>
      </c>
      <c r="G87" s="148">
        <v>0</v>
      </c>
      <c r="H87" s="83">
        <v>0</v>
      </c>
      <c r="I87" s="83">
        <v>11.131040573120117</v>
      </c>
    </row>
    <row r="88" spans="1:11" x14ac:dyDescent="0.2">
      <c r="A88" t="s">
        <v>461</v>
      </c>
      <c r="E88" s="68"/>
      <c r="F88" s="68">
        <v>12855.0986328125</v>
      </c>
      <c r="G88" s="148">
        <v>0</v>
      </c>
      <c r="H88" s="83">
        <v>0</v>
      </c>
      <c r="I88" s="83"/>
    </row>
    <row r="89" spans="1:11" x14ac:dyDescent="0.2">
      <c r="A89" t="s">
        <v>462</v>
      </c>
      <c r="E89" s="68">
        <v>1179.0999755859375</v>
      </c>
      <c r="F89" s="68">
        <v>-131.38427734375</v>
      </c>
      <c r="G89" s="148">
        <v>0</v>
      </c>
      <c r="H89" s="83">
        <v>0</v>
      </c>
      <c r="I89" s="83"/>
    </row>
    <row r="90" spans="1:11" x14ac:dyDescent="0.2">
      <c r="A90" t="s">
        <v>463</v>
      </c>
      <c r="E90" s="68">
        <v>1179.0999755859375</v>
      </c>
      <c r="F90" s="68">
        <v>12723.71484375</v>
      </c>
      <c r="G90" s="148">
        <v>0</v>
      </c>
      <c r="H90" s="83">
        <v>0</v>
      </c>
      <c r="I90" s="83">
        <v>10.79103946685791</v>
      </c>
    </row>
    <row r="91" spans="1:11" x14ac:dyDescent="0.2">
      <c r="A91" t="s">
        <v>464</v>
      </c>
      <c r="E91" s="68"/>
      <c r="F91" s="68">
        <v>766.4150390625</v>
      </c>
      <c r="G91" s="148">
        <v>0</v>
      </c>
      <c r="H91" s="83">
        <v>0</v>
      </c>
      <c r="I91" s="83"/>
    </row>
    <row r="92" spans="1:11" x14ac:dyDescent="0.2">
      <c r="A92" t="s">
        <v>544</v>
      </c>
      <c r="E92" s="68"/>
      <c r="F92" s="68">
        <v>-365.52099609375</v>
      </c>
      <c r="G92" s="148">
        <v>0</v>
      </c>
      <c r="H92" s="83">
        <v>0</v>
      </c>
      <c r="I92" s="83"/>
    </row>
    <row r="95" spans="1:11" x14ac:dyDescent="0.2">
      <c r="A95" s="19" t="s">
        <v>135</v>
      </c>
      <c r="B95" s="9"/>
      <c r="D95" s="9"/>
      <c r="E95" s="9" t="s">
        <v>90</v>
      </c>
      <c r="F95" s="71"/>
      <c r="G95" s="19" t="s">
        <v>129</v>
      </c>
      <c r="H95" s="9"/>
      <c r="I95" s="9"/>
      <c r="J95" s="9"/>
      <c r="K95" s="9"/>
    </row>
    <row r="96" spans="1:11" x14ac:dyDescent="0.2">
      <c r="A96" s="9" t="s">
        <v>162</v>
      </c>
      <c r="B96" s="9"/>
      <c r="D96" s="9"/>
      <c r="E96" s="9" t="s">
        <v>537</v>
      </c>
      <c r="F96" s="9"/>
      <c r="G96" s="9"/>
      <c r="H96" s="9"/>
      <c r="I96" s="9"/>
      <c r="J96" s="9"/>
      <c r="K96" s="9"/>
    </row>
    <row r="97" spans="1:11" x14ac:dyDescent="0.2">
      <c r="A97" s="9"/>
      <c r="B97" s="9"/>
      <c r="D97" s="9"/>
      <c r="E97" s="71" t="s">
        <v>85</v>
      </c>
      <c r="F97" s="71"/>
      <c r="G97" s="70" t="s">
        <v>190</v>
      </c>
      <c r="H97" s="71"/>
      <c r="I97" s="71"/>
      <c r="J97" s="71" t="s">
        <v>164</v>
      </c>
      <c r="K97" s="71" t="s">
        <v>165</v>
      </c>
    </row>
    <row r="98" spans="1:11" ht="14.25" x14ac:dyDescent="0.2">
      <c r="A98" s="74" t="s">
        <v>521</v>
      </c>
      <c r="B98" s="73" t="s">
        <v>159</v>
      </c>
      <c r="C98" s="73" t="s">
        <v>251</v>
      </c>
      <c r="D98" s="74" t="s">
        <v>143</v>
      </c>
      <c r="E98" s="75" t="s">
        <v>163</v>
      </c>
      <c r="F98" s="76" t="s">
        <v>193</v>
      </c>
      <c r="G98" s="76" t="s">
        <v>187</v>
      </c>
      <c r="H98" s="76" t="s">
        <v>193</v>
      </c>
      <c r="I98" s="75" t="s">
        <v>184</v>
      </c>
      <c r="J98" s="76" t="s">
        <v>189</v>
      </c>
      <c r="K98" s="76" t="s">
        <v>188</v>
      </c>
    </row>
    <row r="100" spans="1:11" x14ac:dyDescent="0.2">
      <c r="A100" s="2">
        <v>1</v>
      </c>
      <c r="B100" s="2">
        <v>1</v>
      </c>
      <c r="C100" s="2">
        <v>1</v>
      </c>
      <c r="D100" t="s">
        <v>538</v>
      </c>
      <c r="E100" s="68">
        <v>15.199999809265137</v>
      </c>
      <c r="F100" s="84">
        <v>1.1887642176588997E-4</v>
      </c>
      <c r="G100" s="148">
        <v>1.178534984588623</v>
      </c>
      <c r="H100" s="84"/>
      <c r="I100" s="83">
        <v>7.1421287953853607E-2</v>
      </c>
      <c r="J100" s="85">
        <v>0.80000001192092896</v>
      </c>
      <c r="K100" s="68"/>
    </row>
    <row r="101" spans="1:11" x14ac:dyDescent="0.2">
      <c r="A101" s="2">
        <v>2</v>
      </c>
      <c r="B101" s="2">
        <v>1</v>
      </c>
      <c r="C101" s="2">
        <v>1</v>
      </c>
      <c r="D101" t="s">
        <v>539</v>
      </c>
      <c r="E101" s="68">
        <v>7203.60009765625</v>
      </c>
      <c r="F101" s="84">
        <v>5.6338038295507431E-2</v>
      </c>
      <c r="G101" s="148">
        <v>152613.953125</v>
      </c>
      <c r="H101" s="84"/>
      <c r="I101" s="83">
        <v>5.4230988025665283E-2</v>
      </c>
      <c r="J101" s="85">
        <v>11.600000381469727</v>
      </c>
      <c r="K101" s="68"/>
    </row>
    <row r="102" spans="1:11" x14ac:dyDescent="0.2">
      <c r="A102" s="2">
        <v>3</v>
      </c>
      <c r="B102" s="2">
        <v>1</v>
      </c>
      <c r="C102" s="2">
        <v>1</v>
      </c>
      <c r="D102" t="s">
        <v>540</v>
      </c>
      <c r="E102" s="68">
        <v>3895.5</v>
      </c>
      <c r="F102" s="84">
        <v>3.0465994030237198E-2</v>
      </c>
      <c r="G102" s="148">
        <v>43415.44921875</v>
      </c>
      <c r="H102" s="84"/>
      <c r="I102" s="83">
        <v>5.3488317877054214E-2</v>
      </c>
      <c r="J102" s="85">
        <v>10.5</v>
      </c>
      <c r="K102" s="68"/>
    </row>
    <row r="103" spans="1:11" x14ac:dyDescent="0.2">
      <c r="A103" s="2">
        <v>4</v>
      </c>
      <c r="B103" s="2">
        <v>1</v>
      </c>
      <c r="C103" s="2">
        <v>1</v>
      </c>
      <c r="D103" t="s">
        <v>541</v>
      </c>
      <c r="E103" s="68">
        <v>177.60000610351563</v>
      </c>
      <c r="F103" s="84">
        <v>1.3889771653339267E-3</v>
      </c>
      <c r="G103" s="148">
        <v>2523.341064453125</v>
      </c>
      <c r="H103" s="84"/>
      <c r="I103" s="83">
        <v>0.2828427255153656</v>
      </c>
      <c r="J103" s="85">
        <v>11.100000381469727</v>
      </c>
      <c r="K103" s="68"/>
    </row>
    <row r="104" spans="1:11" x14ac:dyDescent="0.2">
      <c r="A104" s="2">
        <v>5</v>
      </c>
      <c r="B104" s="2">
        <v>1</v>
      </c>
      <c r="C104" s="2">
        <v>1</v>
      </c>
      <c r="D104" t="s">
        <v>542</v>
      </c>
      <c r="E104" s="68">
        <v>49.600002288818359</v>
      </c>
      <c r="F104" s="84">
        <v>3.8791255792602897E-4</v>
      </c>
      <c r="G104" s="148">
        <v>196.81282043457031</v>
      </c>
      <c r="H104" s="84"/>
      <c r="I104" s="83">
        <v>0.2828427255153656</v>
      </c>
      <c r="J104" s="85">
        <v>0.80000001192092896</v>
      </c>
      <c r="K104" s="68"/>
    </row>
    <row r="105" spans="1:11" x14ac:dyDescent="0.2">
      <c r="A105" s="2">
        <v>6</v>
      </c>
      <c r="B105" s="2">
        <v>3</v>
      </c>
      <c r="C105" s="2">
        <v>1</v>
      </c>
      <c r="D105" t="s">
        <v>543</v>
      </c>
      <c r="E105" s="68">
        <v>40.700000762939453</v>
      </c>
      <c r="F105" s="84">
        <v>3.1830725492909551E-4</v>
      </c>
      <c r="G105" s="148">
        <v>15.829419136047363</v>
      </c>
      <c r="H105" s="84"/>
      <c r="I105" s="83">
        <v>9.7754798829555511E-2</v>
      </c>
      <c r="J105" s="85">
        <v>55</v>
      </c>
      <c r="K105" s="68"/>
    </row>
    <row r="106" spans="1:11" x14ac:dyDescent="0.2">
      <c r="A106" s="2">
        <v>7</v>
      </c>
      <c r="B106" s="2">
        <v>1</v>
      </c>
      <c r="C106" s="2">
        <v>2</v>
      </c>
      <c r="D106" t="s">
        <v>545</v>
      </c>
      <c r="E106" s="68">
        <v>102.20000457763672</v>
      </c>
      <c r="F106" s="84">
        <v>7.992875762283802E-4</v>
      </c>
      <c r="G106" s="148">
        <v>86.441497802734375</v>
      </c>
      <c r="H106" s="84"/>
      <c r="I106" s="83">
        <v>9.0972520411014557E-2</v>
      </c>
      <c r="J106" s="85">
        <v>7.3000001907348633</v>
      </c>
      <c r="K106" s="68"/>
    </row>
    <row r="107" spans="1:11" x14ac:dyDescent="0.2">
      <c r="A107" s="2">
        <v>8</v>
      </c>
      <c r="B107" s="2">
        <v>1</v>
      </c>
      <c r="C107" s="2">
        <v>2</v>
      </c>
      <c r="D107" t="s">
        <v>546</v>
      </c>
      <c r="E107" s="68">
        <v>322</v>
      </c>
      <c r="F107" s="84">
        <v>2.5183032266795635E-3</v>
      </c>
      <c r="G107" s="148">
        <v>4357.3203125</v>
      </c>
      <c r="H107" s="84"/>
      <c r="I107" s="83">
        <v>0.20499999821186066</v>
      </c>
      <c r="J107" s="85">
        <v>9.1999998092651367</v>
      </c>
      <c r="K107" s="68"/>
    </row>
    <row r="108" spans="1:11" x14ac:dyDescent="0.2">
      <c r="A108" s="2">
        <v>9</v>
      </c>
      <c r="B108" s="2">
        <v>1</v>
      </c>
      <c r="C108" s="2">
        <v>2</v>
      </c>
      <c r="D108" t="s">
        <v>547</v>
      </c>
      <c r="E108" s="68">
        <v>3065.999755859375</v>
      </c>
      <c r="F108" s="84">
        <v>2.3978624492883682E-2</v>
      </c>
      <c r="G108" s="148">
        <v>376954.21875</v>
      </c>
      <c r="H108" s="84"/>
      <c r="I108" s="83">
        <v>0.20024985074996948</v>
      </c>
      <c r="J108" s="85">
        <v>8.3999996185302734</v>
      </c>
      <c r="K108" s="68"/>
    </row>
    <row r="109" spans="1:11" x14ac:dyDescent="0.2">
      <c r="A109" s="2">
        <v>10</v>
      </c>
      <c r="B109" s="2">
        <v>1</v>
      </c>
      <c r="C109" s="2">
        <v>2</v>
      </c>
      <c r="D109" t="s">
        <v>548</v>
      </c>
      <c r="E109" s="68">
        <v>522.5</v>
      </c>
      <c r="F109" s="84">
        <v>4.0863770991563797E-3</v>
      </c>
      <c r="G109" s="148">
        <v>1097.7581787109375</v>
      </c>
      <c r="H109" s="84"/>
      <c r="I109" s="83">
        <v>6.3411355018615723E-2</v>
      </c>
      <c r="J109" s="85">
        <v>5.5</v>
      </c>
      <c r="K109" s="68"/>
    </row>
    <row r="110" spans="1:11" x14ac:dyDescent="0.2">
      <c r="A110" s="2">
        <v>11</v>
      </c>
      <c r="B110" s="2">
        <v>1</v>
      </c>
      <c r="C110" s="2">
        <v>2</v>
      </c>
      <c r="D110" t="s">
        <v>549</v>
      </c>
      <c r="E110" s="68">
        <v>300.30001831054688</v>
      </c>
      <c r="F110" s="84">
        <v>2.348591573536396E-3</v>
      </c>
      <c r="G110" s="148">
        <v>7214.408203125</v>
      </c>
      <c r="H110" s="84"/>
      <c r="I110" s="83">
        <v>0.2828427255153656</v>
      </c>
      <c r="J110" s="85">
        <v>9.1000003814697266</v>
      </c>
      <c r="K110" s="68"/>
    </row>
    <row r="111" spans="1:11" x14ac:dyDescent="0.2">
      <c r="A111" s="2">
        <v>12</v>
      </c>
      <c r="B111" s="2">
        <v>1</v>
      </c>
      <c r="C111" s="2">
        <v>2</v>
      </c>
      <c r="D111" t="s">
        <v>550</v>
      </c>
      <c r="E111" s="68">
        <v>268.79998779296875</v>
      </c>
      <c r="F111" s="84">
        <v>2.1022355649620295E-3</v>
      </c>
      <c r="G111" s="148">
        <v>5780.27490234375</v>
      </c>
      <c r="H111" s="84"/>
      <c r="I111" s="83">
        <v>0.2828427255153656</v>
      </c>
      <c r="J111" s="85">
        <v>5.5999999046325684</v>
      </c>
      <c r="K111" s="68"/>
    </row>
    <row r="112" spans="1:11" x14ac:dyDescent="0.2">
      <c r="A112" s="2">
        <v>13</v>
      </c>
      <c r="B112" s="2">
        <v>3</v>
      </c>
      <c r="C112" s="2">
        <v>2</v>
      </c>
      <c r="D112" t="s">
        <v>551</v>
      </c>
      <c r="E112" s="68">
        <v>124.79999542236328</v>
      </c>
      <c r="F112" s="84">
        <v>9.7603793255984783E-4</v>
      </c>
      <c r="G112" s="148">
        <v>966.213134765625</v>
      </c>
      <c r="H112" s="84"/>
      <c r="I112" s="83">
        <v>0.24907027184963226</v>
      </c>
      <c r="J112" s="85">
        <v>96</v>
      </c>
      <c r="K112" s="68"/>
    </row>
    <row r="113" spans="1:11" x14ac:dyDescent="0.2">
      <c r="A113" s="2">
        <v>14</v>
      </c>
      <c r="B113" s="2">
        <v>3</v>
      </c>
      <c r="C113" s="2">
        <v>2</v>
      </c>
      <c r="D113" t="s">
        <v>552</v>
      </c>
      <c r="E113" s="68">
        <v>9960</v>
      </c>
      <c r="F113" s="84">
        <v>7.789534330368042E-2</v>
      </c>
      <c r="G113" s="148">
        <v>457914.59375</v>
      </c>
      <c r="H113" s="84"/>
      <c r="I113" s="83">
        <v>6.7941151559352875E-2</v>
      </c>
      <c r="J113" s="85">
        <v>415</v>
      </c>
      <c r="K113" s="68"/>
    </row>
    <row r="114" spans="1:11" x14ac:dyDescent="0.2">
      <c r="A114" s="2">
        <v>15</v>
      </c>
      <c r="B114" s="2">
        <v>1</v>
      </c>
      <c r="C114" s="2">
        <v>3</v>
      </c>
      <c r="D114" t="s">
        <v>554</v>
      </c>
      <c r="E114" s="68">
        <v>358.89999389648438</v>
      </c>
      <c r="F114" s="84">
        <v>2.8068912215530872E-3</v>
      </c>
      <c r="G114" s="148">
        <v>445.80865478515625</v>
      </c>
      <c r="H114" s="84"/>
      <c r="I114" s="83">
        <v>5.8830264955759048E-2</v>
      </c>
      <c r="J114" s="85">
        <v>9.6999998092651367</v>
      </c>
      <c r="K114" s="68"/>
    </row>
    <row r="115" spans="1:11" x14ac:dyDescent="0.2">
      <c r="A115" s="2">
        <v>16</v>
      </c>
      <c r="B115" s="2">
        <v>1</v>
      </c>
      <c r="C115" s="2">
        <v>3</v>
      </c>
      <c r="D115" t="s">
        <v>555</v>
      </c>
      <c r="E115" s="68">
        <v>123.5</v>
      </c>
      <c r="F115" s="84">
        <v>9.6587091684341431E-4</v>
      </c>
      <c r="G115" s="148">
        <v>66.332038879394531</v>
      </c>
      <c r="H115" s="84"/>
      <c r="I115" s="83">
        <v>6.5946951508522034E-2</v>
      </c>
      <c r="J115" s="85">
        <v>9.5</v>
      </c>
      <c r="K115" s="68"/>
    </row>
    <row r="116" spans="1:11" x14ac:dyDescent="0.2">
      <c r="A116" s="2">
        <v>17</v>
      </c>
      <c r="B116" s="2">
        <v>1</v>
      </c>
      <c r="C116" s="2">
        <v>3</v>
      </c>
      <c r="D116" t="s">
        <v>556</v>
      </c>
      <c r="E116" s="68">
        <v>91</v>
      </c>
      <c r="F116" s="84">
        <v>7.1169435977935791E-4</v>
      </c>
      <c r="G116" s="148">
        <v>662.48004150390625</v>
      </c>
      <c r="H116" s="84"/>
      <c r="I116" s="83">
        <v>0.2828427255153656</v>
      </c>
      <c r="J116" s="85">
        <v>9.1000003814697266</v>
      </c>
      <c r="K116" s="68"/>
    </row>
    <row r="117" spans="1:11" x14ac:dyDescent="0.2">
      <c r="A117" s="2">
        <v>18</v>
      </c>
      <c r="B117" s="2">
        <v>1</v>
      </c>
      <c r="C117" s="2">
        <v>3</v>
      </c>
      <c r="D117" t="s">
        <v>557</v>
      </c>
      <c r="E117" s="68">
        <v>633.60003662109375</v>
      </c>
      <c r="F117" s="84">
        <v>4.9552703276276588E-3</v>
      </c>
      <c r="G117" s="148">
        <v>32115.921875</v>
      </c>
      <c r="H117" s="84"/>
      <c r="I117" s="83">
        <v>0.2828427255153656</v>
      </c>
      <c r="J117" s="85">
        <v>9.6000003814697266</v>
      </c>
      <c r="K117" s="68"/>
    </row>
    <row r="118" spans="1:11" x14ac:dyDescent="0.2">
      <c r="A118" s="2">
        <v>19</v>
      </c>
      <c r="B118" s="2">
        <v>3</v>
      </c>
      <c r="C118" s="2">
        <v>3</v>
      </c>
      <c r="D118" t="s">
        <v>558</v>
      </c>
      <c r="E118" s="68">
        <v>45.360000610351563</v>
      </c>
      <c r="F118" s="84">
        <v>3.5475226468406618E-4</v>
      </c>
      <c r="G118" s="148">
        <v>43.7615966796875</v>
      </c>
      <c r="H118" s="84"/>
      <c r="I118" s="83">
        <v>0.14583894610404968</v>
      </c>
      <c r="J118" s="85">
        <v>56</v>
      </c>
      <c r="K118" s="68"/>
    </row>
    <row r="119" spans="1:11" x14ac:dyDescent="0.2">
      <c r="A119" s="2">
        <v>20</v>
      </c>
      <c r="B119" s="2">
        <v>3</v>
      </c>
      <c r="C119" s="2">
        <v>3</v>
      </c>
      <c r="D119" t="s">
        <v>559</v>
      </c>
      <c r="E119" s="68">
        <v>9.3599996566772461</v>
      </c>
      <c r="F119" s="84">
        <v>7.3202849307563156E-5</v>
      </c>
      <c r="G119" s="148">
        <v>0.62413078546524048</v>
      </c>
      <c r="H119" s="84"/>
      <c r="I119" s="83">
        <v>8.4403790533542633E-2</v>
      </c>
      <c r="J119" s="85">
        <v>78</v>
      </c>
      <c r="K119" s="68"/>
    </row>
    <row r="120" spans="1:11" x14ac:dyDescent="0.2">
      <c r="A120" s="2">
        <v>21</v>
      </c>
      <c r="B120" s="2">
        <v>1</v>
      </c>
      <c r="C120" s="2">
        <v>4</v>
      </c>
      <c r="D120" t="s">
        <v>561</v>
      </c>
      <c r="E120" s="68">
        <v>13841.8994140625</v>
      </c>
      <c r="F120" s="84">
        <v>0.10825496912002563</v>
      </c>
      <c r="G120" s="148">
        <v>528044.625</v>
      </c>
      <c r="H120" s="84"/>
      <c r="I120" s="83">
        <v>5.249762162566185E-2</v>
      </c>
      <c r="J120" s="85">
        <v>9.6999998092651367</v>
      </c>
      <c r="K120" s="68"/>
    </row>
    <row r="121" spans="1:11" x14ac:dyDescent="0.2">
      <c r="A121" s="2">
        <v>22</v>
      </c>
      <c r="B121" s="2">
        <v>1</v>
      </c>
      <c r="C121" s="2">
        <v>4</v>
      </c>
      <c r="D121" t="s">
        <v>562</v>
      </c>
      <c r="E121" s="68">
        <v>880</v>
      </c>
      <c r="F121" s="84">
        <v>6.8823192268610001E-3</v>
      </c>
      <c r="G121" s="148">
        <v>2680.198486328125</v>
      </c>
      <c r="H121" s="84"/>
      <c r="I121" s="83">
        <v>5.8830264955759048E-2</v>
      </c>
      <c r="J121" s="85">
        <v>11</v>
      </c>
      <c r="K121" s="68"/>
    </row>
    <row r="122" spans="1:11" x14ac:dyDescent="0.2">
      <c r="A122" s="2">
        <v>23</v>
      </c>
      <c r="B122" s="2">
        <v>1</v>
      </c>
      <c r="C122" s="2">
        <v>4</v>
      </c>
      <c r="D122" t="s">
        <v>563</v>
      </c>
      <c r="E122" s="68">
        <v>858.4000244140625</v>
      </c>
      <c r="F122" s="84">
        <v>6.7133898846805096E-3</v>
      </c>
      <c r="G122" s="148">
        <v>2080.8662109375</v>
      </c>
      <c r="H122" s="84"/>
      <c r="I122" s="83">
        <v>5.3141321986913681E-2</v>
      </c>
      <c r="J122" s="85">
        <v>7.4000000953674316</v>
      </c>
      <c r="K122" s="68"/>
    </row>
    <row r="123" spans="1:11" x14ac:dyDescent="0.2">
      <c r="A123" s="2">
        <v>24</v>
      </c>
      <c r="B123" s="2">
        <v>1</v>
      </c>
      <c r="C123" s="2">
        <v>4</v>
      </c>
      <c r="D123" t="s">
        <v>564</v>
      </c>
      <c r="E123" s="68">
        <v>114</v>
      </c>
      <c r="F123" s="84">
        <v>8.9157314505428076E-4</v>
      </c>
      <c r="G123" s="148">
        <v>1039.6800537109375</v>
      </c>
      <c r="H123" s="84"/>
      <c r="I123" s="83">
        <v>0.2828427255153656</v>
      </c>
      <c r="J123" s="85">
        <v>9.5</v>
      </c>
      <c r="K123" s="68"/>
    </row>
    <row r="124" spans="1:11" x14ac:dyDescent="0.2">
      <c r="A124" s="2">
        <v>25</v>
      </c>
      <c r="B124" s="2">
        <v>1</v>
      </c>
      <c r="C124" s="2">
        <v>4</v>
      </c>
      <c r="D124" t="s">
        <v>565</v>
      </c>
      <c r="E124" s="68">
        <v>21.850000381469727</v>
      </c>
      <c r="F124" s="84">
        <v>1.7088485765270889E-4</v>
      </c>
      <c r="G124" s="148">
        <v>38.193801879882813</v>
      </c>
      <c r="H124" s="84"/>
      <c r="I124" s="83">
        <v>0.2828427255153656</v>
      </c>
      <c r="J124" s="85">
        <v>9.5</v>
      </c>
      <c r="K124" s="68"/>
    </row>
    <row r="125" spans="1:11" x14ac:dyDescent="0.2">
      <c r="A125" s="2">
        <v>26</v>
      </c>
      <c r="B125" s="2">
        <v>3</v>
      </c>
      <c r="C125" s="2">
        <v>4</v>
      </c>
      <c r="D125" t="s">
        <v>566</v>
      </c>
      <c r="E125" s="68">
        <v>45.5</v>
      </c>
      <c r="F125" s="84">
        <v>3.5584717988967896E-4</v>
      </c>
      <c r="G125" s="148">
        <v>14.748461723327637</v>
      </c>
      <c r="H125" s="84"/>
      <c r="I125" s="83">
        <v>8.4403790533542633E-2</v>
      </c>
      <c r="J125" s="85">
        <v>70</v>
      </c>
      <c r="K125" s="68"/>
    </row>
    <row r="126" spans="1:11" x14ac:dyDescent="0.2">
      <c r="A126" s="2">
        <v>27</v>
      </c>
      <c r="B126" s="2">
        <v>1</v>
      </c>
      <c r="C126" s="2">
        <v>5</v>
      </c>
      <c r="D126" t="s">
        <v>567</v>
      </c>
      <c r="E126" s="68">
        <v>3357.300048828125</v>
      </c>
      <c r="F126" s="84">
        <v>2.6256829500198364E-2</v>
      </c>
      <c r="G126" s="148">
        <v>37015.48828125</v>
      </c>
      <c r="H126" s="84"/>
      <c r="I126" s="83">
        <v>5.7306196540594101E-2</v>
      </c>
      <c r="J126" s="85">
        <v>9.3000001907348633</v>
      </c>
      <c r="K126" s="68"/>
    </row>
    <row r="127" spans="1:11" x14ac:dyDescent="0.2">
      <c r="A127" s="2">
        <v>28</v>
      </c>
      <c r="B127" s="2">
        <v>1</v>
      </c>
      <c r="C127" s="2">
        <v>5</v>
      </c>
      <c r="D127" t="s">
        <v>568</v>
      </c>
      <c r="E127" s="68">
        <v>92.399993896484375</v>
      </c>
      <c r="F127" s="84">
        <v>7.2264345362782478E-4</v>
      </c>
      <c r="G127" s="148">
        <v>27.568424224853516</v>
      </c>
      <c r="H127" s="84"/>
      <c r="I127" s="83">
        <v>5.6824292987585068E-2</v>
      </c>
      <c r="J127" s="85">
        <v>7.6999998092651367</v>
      </c>
      <c r="K127" s="68"/>
    </row>
    <row r="128" spans="1:11" x14ac:dyDescent="0.2">
      <c r="A128" s="2">
        <v>29</v>
      </c>
      <c r="B128" s="2">
        <v>1</v>
      </c>
      <c r="C128" s="2">
        <v>5</v>
      </c>
      <c r="D128" t="s">
        <v>569</v>
      </c>
      <c r="E128" s="68">
        <v>24636.900390625</v>
      </c>
      <c r="F128" s="84">
        <v>0.19268070161342621</v>
      </c>
      <c r="G128" s="148">
        <v>2027909.75</v>
      </c>
      <c r="H128" s="84"/>
      <c r="I128" s="83">
        <v>5.7801384478807449E-2</v>
      </c>
      <c r="J128" s="85">
        <v>12.300000190734863</v>
      </c>
      <c r="K128" s="68"/>
    </row>
    <row r="129" spans="1:11" x14ac:dyDescent="0.2">
      <c r="A129" s="2">
        <v>30</v>
      </c>
      <c r="B129" s="2">
        <v>1</v>
      </c>
      <c r="C129" s="2">
        <v>5</v>
      </c>
      <c r="D129" t="s">
        <v>570</v>
      </c>
      <c r="E129" s="68">
        <v>4663.2001953125</v>
      </c>
      <c r="F129" s="84">
        <v>3.6470036953687668E-2</v>
      </c>
      <c r="G129" s="148">
        <v>73934.484375</v>
      </c>
      <c r="H129" s="84"/>
      <c r="I129" s="83">
        <v>5.8309517800807953E-2</v>
      </c>
      <c r="J129" s="85">
        <v>5.8000001907348633</v>
      </c>
      <c r="K129" s="68"/>
    </row>
    <row r="130" spans="1:11" x14ac:dyDescent="0.2">
      <c r="A130" s="2">
        <v>31</v>
      </c>
      <c r="B130" s="2">
        <v>1</v>
      </c>
      <c r="C130" s="2">
        <v>5</v>
      </c>
      <c r="D130" t="s">
        <v>571</v>
      </c>
      <c r="E130" s="68">
        <v>798</v>
      </c>
      <c r="F130" s="84">
        <v>6.2410123646259308E-3</v>
      </c>
      <c r="G130" s="148">
        <v>3961.557861328125</v>
      </c>
      <c r="H130" s="84"/>
      <c r="I130" s="83">
        <v>7.8873321413993835E-2</v>
      </c>
      <c r="J130" s="85">
        <v>9.5</v>
      </c>
      <c r="K130" s="68"/>
    </row>
    <row r="131" spans="1:11" x14ac:dyDescent="0.2">
      <c r="A131" s="2">
        <v>32</v>
      </c>
      <c r="B131" s="2">
        <v>1</v>
      </c>
      <c r="C131" s="2">
        <v>5</v>
      </c>
      <c r="D131" t="s">
        <v>572</v>
      </c>
      <c r="E131" s="68">
        <v>359.60000610351563</v>
      </c>
      <c r="F131" s="84">
        <v>2.8123660013079643E-3</v>
      </c>
      <c r="G131" s="148">
        <v>621.21563720703125</v>
      </c>
      <c r="H131" s="84"/>
      <c r="I131" s="83">
        <v>6.9310896098613739E-2</v>
      </c>
      <c r="J131" s="85">
        <v>5.8000001907348633</v>
      </c>
      <c r="K131" s="68"/>
    </row>
    <row r="132" spans="1:11" x14ac:dyDescent="0.2">
      <c r="A132" s="2">
        <v>33</v>
      </c>
      <c r="B132" s="2">
        <v>1</v>
      </c>
      <c r="C132" s="2">
        <v>5</v>
      </c>
      <c r="D132" t="s">
        <v>573</v>
      </c>
      <c r="E132" s="68">
        <v>221.40000915527344</v>
      </c>
      <c r="F132" s="84">
        <v>1.7315290169790387E-3</v>
      </c>
      <c r="G132" s="148">
        <v>3921.437255859375</v>
      </c>
      <c r="H132" s="84"/>
      <c r="I132" s="83">
        <v>0.2828427255153656</v>
      </c>
      <c r="J132" s="85">
        <v>12.300000190734863</v>
      </c>
      <c r="K132" s="68"/>
    </row>
    <row r="133" spans="1:11" x14ac:dyDescent="0.2">
      <c r="A133" s="2">
        <v>34</v>
      </c>
      <c r="B133" s="2">
        <v>1</v>
      </c>
      <c r="C133" s="2">
        <v>5</v>
      </c>
      <c r="D133" t="s">
        <v>574</v>
      </c>
      <c r="E133" s="68">
        <v>379.5</v>
      </c>
      <c r="F133" s="84">
        <v>2.9680002480745316E-3</v>
      </c>
      <c r="G133" s="148">
        <v>11521.6201171875</v>
      </c>
      <c r="H133" s="84"/>
      <c r="I133" s="83">
        <v>0.2828427255153656</v>
      </c>
      <c r="J133" s="85">
        <v>6.9000000953674316</v>
      </c>
      <c r="K133" s="68"/>
    </row>
    <row r="134" spans="1:11" x14ac:dyDescent="0.2">
      <c r="A134" s="2">
        <v>35</v>
      </c>
      <c r="B134" s="2">
        <v>3</v>
      </c>
      <c r="C134" s="2">
        <v>5</v>
      </c>
      <c r="D134" t="s">
        <v>575</v>
      </c>
      <c r="E134" s="68">
        <v>127.79999542236328</v>
      </c>
      <c r="F134" s="84">
        <v>9.995003929361701E-4</v>
      </c>
      <c r="G134" s="148">
        <v>88.458656311035156</v>
      </c>
      <c r="H134" s="84"/>
      <c r="I134" s="83">
        <v>7.3593474924564362E-2</v>
      </c>
      <c r="J134" s="85">
        <v>71</v>
      </c>
      <c r="K134" s="68"/>
    </row>
    <row r="135" spans="1:11" x14ac:dyDescent="0.2">
      <c r="A135" s="2">
        <v>36</v>
      </c>
      <c r="B135" s="2">
        <v>1</v>
      </c>
      <c r="C135" s="2">
        <v>6</v>
      </c>
      <c r="D135" t="s">
        <v>578</v>
      </c>
      <c r="E135" s="68">
        <v>1566</v>
      </c>
      <c r="F135" s="84">
        <v>1.2247399426996708E-2</v>
      </c>
      <c r="G135" s="148">
        <v>10054.6591796875</v>
      </c>
      <c r="H135" s="84"/>
      <c r="I135" s="83">
        <v>6.4031243324279785E-2</v>
      </c>
      <c r="J135" s="85">
        <v>27</v>
      </c>
      <c r="K135" s="68"/>
    </row>
    <row r="136" spans="1:11" x14ac:dyDescent="0.2">
      <c r="A136" s="2">
        <v>37</v>
      </c>
      <c r="B136" s="2">
        <v>1</v>
      </c>
      <c r="C136" s="2">
        <v>6</v>
      </c>
      <c r="D136" t="s">
        <v>579</v>
      </c>
      <c r="E136" s="68">
        <v>432</v>
      </c>
      <c r="F136" s="84">
        <v>3.3785931300371885E-3</v>
      </c>
      <c r="G136" s="148">
        <v>14929.9208984375</v>
      </c>
      <c r="H136" s="84"/>
      <c r="I136" s="83">
        <v>0.2828427255153656</v>
      </c>
      <c r="J136" s="85">
        <v>27</v>
      </c>
      <c r="K136" s="68"/>
    </row>
    <row r="137" spans="1:11" x14ac:dyDescent="0.2">
      <c r="A137" s="2">
        <v>38</v>
      </c>
      <c r="B137" s="2">
        <v>3</v>
      </c>
      <c r="C137" s="2">
        <v>6</v>
      </c>
      <c r="D137" t="s">
        <v>580</v>
      </c>
      <c r="E137" s="68">
        <v>45.220001220703125</v>
      </c>
      <c r="F137" s="84">
        <v>3.5365737858228385E-4</v>
      </c>
      <c r="G137" s="148">
        <v>10.430771827697754</v>
      </c>
      <c r="H137" s="84"/>
      <c r="I137" s="83">
        <v>7.142128050327301E-2</v>
      </c>
      <c r="J137" s="85">
        <v>119</v>
      </c>
      <c r="K137" s="68"/>
    </row>
    <row r="138" spans="1:11" x14ac:dyDescent="0.2">
      <c r="A138" s="2">
        <v>39</v>
      </c>
      <c r="B138" s="2">
        <v>3</v>
      </c>
      <c r="C138" s="2">
        <v>6</v>
      </c>
      <c r="D138" t="s">
        <v>581</v>
      </c>
      <c r="E138" s="68">
        <v>42.419998168945313</v>
      </c>
      <c r="F138" s="84">
        <v>3.3175904536619782E-4</v>
      </c>
      <c r="G138" s="148">
        <v>7.6728816032409668</v>
      </c>
      <c r="H138" s="84"/>
      <c r="I138" s="83">
        <v>6.529930979013443E-2</v>
      </c>
      <c r="J138" s="85">
        <v>101</v>
      </c>
      <c r="K138" s="68"/>
    </row>
    <row r="139" spans="1:11" x14ac:dyDescent="0.2">
      <c r="A139" s="2">
        <v>40</v>
      </c>
      <c r="B139" s="2">
        <v>3</v>
      </c>
      <c r="C139" s="2">
        <v>6</v>
      </c>
      <c r="D139" t="s">
        <v>582</v>
      </c>
      <c r="E139" s="68">
        <v>118</v>
      </c>
      <c r="F139" s="84">
        <v>9.2285644495859742E-4</v>
      </c>
      <c r="G139" s="148">
        <v>115.23502349853516</v>
      </c>
      <c r="H139" s="84"/>
      <c r="I139" s="83">
        <v>9.0972520411014557E-2</v>
      </c>
      <c r="J139" s="85">
        <v>118</v>
      </c>
      <c r="K139" s="68"/>
    </row>
    <row r="140" spans="1:11" x14ac:dyDescent="0.2">
      <c r="A140" s="2">
        <v>41</v>
      </c>
      <c r="B140" s="2">
        <v>1</v>
      </c>
      <c r="C140" s="2">
        <v>7</v>
      </c>
      <c r="D140" t="s">
        <v>584</v>
      </c>
      <c r="E140" s="68">
        <v>35.099998474121094</v>
      </c>
      <c r="F140" s="84">
        <v>2.7451067580841482E-4</v>
      </c>
      <c r="G140" s="148">
        <v>98.560791015625</v>
      </c>
      <c r="H140" s="84"/>
      <c r="I140" s="83">
        <v>0.2828427255153656</v>
      </c>
      <c r="J140" s="85">
        <v>27</v>
      </c>
      <c r="K140" s="68"/>
    </row>
    <row r="141" spans="1:11" x14ac:dyDescent="0.2">
      <c r="A141" s="2">
        <v>42</v>
      </c>
      <c r="B141" s="2">
        <v>3</v>
      </c>
      <c r="C141" s="2">
        <v>7</v>
      </c>
      <c r="D141" t="s">
        <v>585</v>
      </c>
      <c r="E141" s="68">
        <v>561.60003662109375</v>
      </c>
      <c r="F141" s="84">
        <v>4.3921712785959244E-3</v>
      </c>
      <c r="G141" s="148">
        <v>2707.347412109375</v>
      </c>
      <c r="H141" s="84"/>
      <c r="I141" s="83">
        <v>9.2649884521961212E-2</v>
      </c>
      <c r="J141" s="85">
        <v>104</v>
      </c>
      <c r="K141" s="68"/>
    </row>
    <row r="142" spans="1:11" x14ac:dyDescent="0.2">
      <c r="A142" s="2">
        <v>43</v>
      </c>
      <c r="B142" s="2">
        <v>1</v>
      </c>
      <c r="C142" s="2">
        <v>8</v>
      </c>
      <c r="D142" t="s">
        <v>586</v>
      </c>
      <c r="E142" s="68">
        <v>4735.80029296875</v>
      </c>
      <c r="F142" s="84">
        <v>3.703782707452774E-2</v>
      </c>
      <c r="G142" s="148">
        <v>74931.296875</v>
      </c>
      <c r="H142" s="84"/>
      <c r="I142" s="83">
        <v>5.7801384478807449E-2</v>
      </c>
      <c r="J142" s="85">
        <v>5.4000000953674316</v>
      </c>
      <c r="K142" s="68"/>
    </row>
    <row r="143" spans="1:11" x14ac:dyDescent="0.2">
      <c r="A143" s="2">
        <v>44</v>
      </c>
      <c r="B143" s="2">
        <v>1</v>
      </c>
      <c r="C143" s="2">
        <v>8</v>
      </c>
      <c r="D143" t="s">
        <v>587</v>
      </c>
      <c r="E143" s="68">
        <v>301.5999755859375</v>
      </c>
      <c r="F143" s="84">
        <v>2.3587583564221859E-3</v>
      </c>
      <c r="G143" s="148">
        <v>7277.00390625</v>
      </c>
      <c r="H143" s="84"/>
      <c r="I143" s="83">
        <v>0.2828427255153656</v>
      </c>
      <c r="J143" s="85">
        <v>5.1999998092651367</v>
      </c>
      <c r="K143" s="68"/>
    </row>
    <row r="144" spans="1:11" x14ac:dyDescent="0.2">
      <c r="A144" s="2">
        <v>45</v>
      </c>
      <c r="B144" s="2">
        <v>3</v>
      </c>
      <c r="C144" s="2">
        <v>8</v>
      </c>
      <c r="D144" t="s">
        <v>588</v>
      </c>
      <c r="E144" s="68">
        <v>874</v>
      </c>
      <c r="F144" s="84">
        <v>6.8353940732777119E-3</v>
      </c>
      <c r="G144" s="148">
        <v>4752.07275390625</v>
      </c>
      <c r="H144" s="84"/>
      <c r="I144" s="83">
        <v>7.8873313963413239E-2</v>
      </c>
      <c r="J144" s="85">
        <v>76</v>
      </c>
      <c r="K144" s="68"/>
    </row>
    <row r="145" spans="1:11" x14ac:dyDescent="0.2">
      <c r="A145" s="2">
        <v>46</v>
      </c>
      <c r="B145" s="2">
        <v>3</v>
      </c>
      <c r="C145" s="2">
        <v>8</v>
      </c>
      <c r="D145" t="s">
        <v>589</v>
      </c>
      <c r="E145" s="68">
        <v>27.000001907348633</v>
      </c>
      <c r="F145" s="84">
        <v>2.1116208517923951E-4</v>
      </c>
      <c r="G145" s="148">
        <v>19.7916259765625</v>
      </c>
      <c r="H145" s="84"/>
      <c r="I145" s="83">
        <v>0.16476954519748688</v>
      </c>
      <c r="J145" s="85">
        <v>150</v>
      </c>
      <c r="K145" s="68"/>
    </row>
    <row r="146" spans="1:11" x14ac:dyDescent="0.2">
      <c r="A146" s="2">
        <v>47</v>
      </c>
      <c r="B146" s="2">
        <v>1</v>
      </c>
      <c r="C146" s="2">
        <v>9</v>
      </c>
      <c r="D146" t="s">
        <v>590</v>
      </c>
      <c r="E146" s="68">
        <v>648</v>
      </c>
      <c r="F146" s="84">
        <v>5.067889578640461E-3</v>
      </c>
      <c r="G146" s="148">
        <v>21969.796875</v>
      </c>
      <c r="H146" s="84"/>
      <c r="I146" s="83">
        <v>0.22873784601688385</v>
      </c>
      <c r="J146" s="85">
        <v>43.200000762939453</v>
      </c>
      <c r="K146" s="68"/>
    </row>
    <row r="147" spans="1:11" x14ac:dyDescent="0.2">
      <c r="A147" s="2">
        <v>48</v>
      </c>
      <c r="B147" s="2">
        <v>1</v>
      </c>
      <c r="C147" s="2">
        <v>9</v>
      </c>
      <c r="D147" t="s">
        <v>591</v>
      </c>
      <c r="E147" s="68">
        <v>596</v>
      </c>
      <c r="F147" s="84">
        <v>4.6612070873379707E-3</v>
      </c>
      <c r="G147" s="148">
        <v>14413.2451171875</v>
      </c>
      <c r="H147" s="84"/>
      <c r="I147" s="83">
        <v>0.20143485069274902</v>
      </c>
      <c r="J147" s="85">
        <v>14.899999618530273</v>
      </c>
      <c r="K147" s="68"/>
    </row>
    <row r="148" spans="1:11" x14ac:dyDescent="0.2">
      <c r="A148" s="2">
        <v>49</v>
      </c>
      <c r="B148" s="2">
        <v>1</v>
      </c>
      <c r="C148" s="2">
        <v>9</v>
      </c>
      <c r="D148" t="s">
        <v>592</v>
      </c>
      <c r="E148" s="68">
        <v>12522.400390625</v>
      </c>
      <c r="F148" s="84">
        <v>9.7935408353805542E-2</v>
      </c>
      <c r="G148" s="148">
        <v>552600.25</v>
      </c>
      <c r="H148" s="84"/>
      <c r="I148" s="83">
        <v>5.9363286942243576E-2</v>
      </c>
      <c r="J148" s="85">
        <v>8.8000001907348633</v>
      </c>
      <c r="K148" s="68"/>
    </row>
    <row r="149" spans="1:11" x14ac:dyDescent="0.2">
      <c r="A149" s="2">
        <v>50</v>
      </c>
      <c r="B149" s="2">
        <v>1</v>
      </c>
      <c r="C149" s="2">
        <v>9</v>
      </c>
      <c r="D149" t="s">
        <v>593</v>
      </c>
      <c r="E149" s="68">
        <v>316.20001220703125</v>
      </c>
      <c r="F149" s="84">
        <v>2.4729424621909857E-3</v>
      </c>
      <c r="G149" s="148">
        <v>7998.59619140625</v>
      </c>
      <c r="H149" s="84"/>
      <c r="I149" s="83">
        <v>0.2828427255153656</v>
      </c>
      <c r="J149" s="85">
        <v>9.3000001907348633</v>
      </c>
      <c r="K149" s="68"/>
    </row>
    <row r="150" spans="1:11" x14ac:dyDescent="0.2">
      <c r="A150" s="2">
        <v>51</v>
      </c>
      <c r="B150" s="2">
        <v>1</v>
      </c>
      <c r="C150" s="2">
        <v>10</v>
      </c>
      <c r="D150" t="s">
        <v>594</v>
      </c>
      <c r="E150" s="68">
        <v>228.80000305175781</v>
      </c>
      <c r="F150" s="84">
        <v>1.7894030315801501E-3</v>
      </c>
      <c r="G150" s="148">
        <v>613.3260498046875</v>
      </c>
      <c r="H150" s="84"/>
      <c r="I150" s="83">
        <v>0.10824047029018402</v>
      </c>
      <c r="J150" s="85">
        <v>17.600000381469727</v>
      </c>
      <c r="K150" s="68"/>
    </row>
    <row r="151" spans="1:11" x14ac:dyDescent="0.2">
      <c r="A151" s="2">
        <v>52</v>
      </c>
      <c r="B151" s="2">
        <v>1</v>
      </c>
      <c r="C151" s="2">
        <v>10</v>
      </c>
      <c r="D151" t="s">
        <v>595</v>
      </c>
      <c r="E151" s="68">
        <v>700</v>
      </c>
      <c r="F151" s="84">
        <v>5.4745720699429512E-3</v>
      </c>
      <c r="G151" s="148">
        <v>39200</v>
      </c>
      <c r="H151" s="84"/>
      <c r="I151" s="83">
        <v>0.2828427255153656</v>
      </c>
      <c r="J151" s="85">
        <v>17.5</v>
      </c>
      <c r="K151" s="68"/>
    </row>
    <row r="152" spans="1:11" x14ac:dyDescent="0.2">
      <c r="A152" s="2">
        <v>53</v>
      </c>
      <c r="B152" s="2">
        <v>1</v>
      </c>
      <c r="C152" s="2">
        <v>11</v>
      </c>
      <c r="D152" t="s">
        <v>598</v>
      </c>
      <c r="E152" s="68">
        <v>1010.0999755859375</v>
      </c>
      <c r="F152" s="84">
        <v>7.8998077660799026E-3</v>
      </c>
      <c r="G152" s="148">
        <v>41856.8671875</v>
      </c>
      <c r="H152" s="84"/>
      <c r="I152" s="83">
        <v>0.20254382491111755</v>
      </c>
      <c r="J152" s="85">
        <v>25.899999618530273</v>
      </c>
      <c r="K152" s="68"/>
    </row>
    <row r="153" spans="1:11" x14ac:dyDescent="0.2">
      <c r="A153" s="2">
        <v>54</v>
      </c>
      <c r="B153" s="2">
        <v>1</v>
      </c>
      <c r="C153" s="2">
        <v>11</v>
      </c>
      <c r="D153" t="s">
        <v>599</v>
      </c>
      <c r="E153" s="68">
        <v>982.4000244140625</v>
      </c>
      <c r="F153" s="84">
        <v>7.683170959353447E-3</v>
      </c>
      <c r="G153" s="148">
        <v>40306.84765625</v>
      </c>
      <c r="H153" s="84"/>
      <c r="I153" s="83">
        <v>0.2043624222278595</v>
      </c>
      <c r="J153" s="85">
        <v>61.400001525878906</v>
      </c>
      <c r="K153" s="68"/>
    </row>
    <row r="154" spans="1:11" x14ac:dyDescent="0.2">
      <c r="A154" s="2">
        <v>55</v>
      </c>
      <c r="B154" s="2">
        <v>1</v>
      </c>
      <c r="C154" s="2">
        <v>11</v>
      </c>
      <c r="D154" t="s">
        <v>600</v>
      </c>
      <c r="E154" s="68">
        <v>98.55999755859375</v>
      </c>
      <c r="F154" s="84">
        <v>7.7081972267478704E-4</v>
      </c>
      <c r="G154" s="148">
        <v>777.1258544921875</v>
      </c>
      <c r="H154" s="84"/>
      <c r="I154" s="83">
        <v>0.2828427255153656</v>
      </c>
      <c r="J154" s="85">
        <v>35.200000762939453</v>
      </c>
      <c r="K154" s="68"/>
    </row>
    <row r="155" spans="1:11" x14ac:dyDescent="0.2">
      <c r="A155" s="2">
        <v>56</v>
      </c>
      <c r="B155" s="2">
        <v>3</v>
      </c>
      <c r="C155" s="2">
        <v>11</v>
      </c>
      <c r="D155" t="s">
        <v>601</v>
      </c>
      <c r="E155" s="68">
        <v>226.20001220703125</v>
      </c>
      <c r="F155" s="84">
        <v>1.7690690001472831E-3</v>
      </c>
      <c r="G155" s="148">
        <v>488.946533203125</v>
      </c>
      <c r="H155" s="84"/>
      <c r="I155" s="83">
        <v>9.7754791378974915E-2</v>
      </c>
      <c r="J155" s="85">
        <v>78</v>
      </c>
      <c r="K155" s="68"/>
    </row>
    <row r="156" spans="1:11" x14ac:dyDescent="0.2">
      <c r="A156" s="2">
        <v>57</v>
      </c>
      <c r="B156" s="2">
        <v>3</v>
      </c>
      <c r="C156" s="2">
        <v>11</v>
      </c>
      <c r="D156" t="s">
        <v>602</v>
      </c>
      <c r="E156" s="68">
        <v>1.1200000047683716</v>
      </c>
      <c r="F156" s="84">
        <v>8.7593152784393169E-6</v>
      </c>
      <c r="G156" s="148">
        <v>6.2720002606511116E-3</v>
      </c>
      <c r="H156" s="84"/>
      <c r="I156" s="83">
        <v>7.07106813788414E-2</v>
      </c>
      <c r="J156" s="85">
        <v>56</v>
      </c>
      <c r="K156" s="68"/>
    </row>
    <row r="157" spans="1:11" x14ac:dyDescent="0.2">
      <c r="A157" s="2">
        <v>58</v>
      </c>
      <c r="B157" s="2">
        <v>1</v>
      </c>
      <c r="C157" s="2">
        <v>12</v>
      </c>
      <c r="D157" t="s">
        <v>604</v>
      </c>
      <c r="E157" s="68">
        <v>9971</v>
      </c>
      <c r="F157" s="84">
        <v>7.7981367707252502E-2</v>
      </c>
      <c r="G157" s="148">
        <v>305818.5</v>
      </c>
      <c r="H157" s="84"/>
      <c r="I157" s="83">
        <v>5.5461697280406952E-2</v>
      </c>
      <c r="J157" s="85">
        <v>6.5</v>
      </c>
      <c r="K157" s="68"/>
    </row>
    <row r="158" spans="1:11" x14ac:dyDescent="0.2">
      <c r="A158" s="2">
        <v>59</v>
      </c>
      <c r="B158" s="2">
        <v>1</v>
      </c>
      <c r="C158" s="2">
        <v>12</v>
      </c>
      <c r="D158" t="s">
        <v>605</v>
      </c>
      <c r="E158" s="68">
        <v>833</v>
      </c>
      <c r="F158" s="84">
        <v>6.5147406421601772E-3</v>
      </c>
      <c r="G158" s="148">
        <v>28654.841796875</v>
      </c>
      <c r="H158" s="84"/>
      <c r="I158" s="83">
        <v>0.20321418344974518</v>
      </c>
      <c r="J158" s="85">
        <v>9.8000001907348633</v>
      </c>
      <c r="K158" s="68"/>
    </row>
    <row r="159" spans="1:11" x14ac:dyDescent="0.2">
      <c r="A159" s="2">
        <v>60</v>
      </c>
      <c r="B159" s="2">
        <v>1</v>
      </c>
      <c r="C159" s="2">
        <v>12</v>
      </c>
      <c r="D159" t="s">
        <v>606</v>
      </c>
      <c r="E159" s="68">
        <v>4129.2998046875</v>
      </c>
      <c r="F159" s="84">
        <v>3.229450061917305E-2</v>
      </c>
      <c r="G159" s="148">
        <v>50880.53515625</v>
      </c>
      <c r="H159" s="84"/>
      <c r="I159" s="83">
        <v>5.4626002907752991E-2</v>
      </c>
      <c r="J159" s="85">
        <v>11.899999618530273</v>
      </c>
      <c r="K159" s="68"/>
    </row>
    <row r="160" spans="1:11" x14ac:dyDescent="0.2">
      <c r="A160" s="2">
        <v>61</v>
      </c>
      <c r="B160" s="2">
        <v>1</v>
      </c>
      <c r="C160" s="2">
        <v>12</v>
      </c>
      <c r="D160" t="s">
        <v>607</v>
      </c>
      <c r="E160" s="68">
        <v>326.79998779296875</v>
      </c>
      <c r="F160" s="84">
        <v>2.5558429770171642E-3</v>
      </c>
      <c r="G160" s="148">
        <v>8543.8583984375</v>
      </c>
      <c r="H160" s="84"/>
      <c r="I160" s="83">
        <v>0.28284269571304321</v>
      </c>
      <c r="J160" s="85">
        <v>7.5999999046325684</v>
      </c>
      <c r="K160" s="68"/>
    </row>
    <row r="161" spans="1:11" x14ac:dyDescent="0.2">
      <c r="A161" s="2">
        <v>62</v>
      </c>
      <c r="B161" s="2">
        <v>3</v>
      </c>
      <c r="C161" s="2">
        <v>12</v>
      </c>
      <c r="D161" t="s">
        <v>608</v>
      </c>
      <c r="E161" s="68">
        <v>122</v>
      </c>
      <c r="F161" s="84">
        <v>9.5413968665525317E-4</v>
      </c>
      <c r="G161" s="148">
        <v>137.29002380371094</v>
      </c>
      <c r="H161" s="84"/>
      <c r="I161" s="83">
        <v>9.6041657030582428E-2</v>
      </c>
      <c r="J161" s="85">
        <v>122</v>
      </c>
      <c r="K161" s="68"/>
    </row>
    <row r="162" spans="1:11" x14ac:dyDescent="0.2">
      <c r="A162" s="2">
        <v>63</v>
      </c>
      <c r="B162" s="2">
        <v>1</v>
      </c>
      <c r="C162" s="2">
        <v>13</v>
      </c>
      <c r="D162" t="s">
        <v>609</v>
      </c>
      <c r="E162" s="68">
        <v>800.79998779296875</v>
      </c>
      <c r="F162" s="84">
        <v>6.2629105523228645E-3</v>
      </c>
      <c r="G162" s="148">
        <v>2434.30126953125</v>
      </c>
      <c r="H162" s="84"/>
      <c r="I162" s="83">
        <v>6.1611685901880264E-2</v>
      </c>
      <c r="J162" s="85">
        <v>14.300000190734863</v>
      </c>
      <c r="K162" s="68"/>
    </row>
    <row r="163" spans="1:11" x14ac:dyDescent="0.2">
      <c r="A163" s="2">
        <v>64</v>
      </c>
      <c r="B163" s="2">
        <v>1</v>
      </c>
      <c r="C163" s="2">
        <v>13</v>
      </c>
      <c r="D163" t="s">
        <v>610</v>
      </c>
      <c r="E163" s="68">
        <v>3696.60009765625</v>
      </c>
      <c r="F163" s="84">
        <v>2.8910433873534203E-2</v>
      </c>
      <c r="G163" s="148">
        <v>48154.94140625</v>
      </c>
      <c r="H163" s="84"/>
      <c r="I163" s="83">
        <v>5.9363290667533875E-2</v>
      </c>
      <c r="J163" s="85">
        <v>10.100000381469727</v>
      </c>
      <c r="K163" s="68"/>
    </row>
    <row r="164" spans="1:11" x14ac:dyDescent="0.2">
      <c r="A164" s="2">
        <v>65</v>
      </c>
      <c r="B164" s="2">
        <v>1</v>
      </c>
      <c r="C164" s="2">
        <v>13</v>
      </c>
      <c r="D164" t="s">
        <v>611</v>
      </c>
      <c r="E164" s="68">
        <v>357</v>
      </c>
      <c r="F164" s="84">
        <v>2.7920317370444536E-3</v>
      </c>
      <c r="G164" s="148">
        <v>10195.919921875</v>
      </c>
      <c r="H164" s="84"/>
      <c r="I164" s="83">
        <v>0.2828427255153656</v>
      </c>
      <c r="J164" s="85">
        <v>10.5</v>
      </c>
      <c r="K164" s="68"/>
    </row>
    <row r="165" spans="1:11" x14ac:dyDescent="0.2">
      <c r="A165" s="2">
        <v>66</v>
      </c>
      <c r="B165" s="2">
        <v>3</v>
      </c>
      <c r="C165" s="2">
        <v>13</v>
      </c>
      <c r="D165" t="s">
        <v>612</v>
      </c>
      <c r="E165" s="68">
        <v>25.16400146484375</v>
      </c>
      <c r="F165" s="84">
        <v>1.9680305558722466E-4</v>
      </c>
      <c r="G165" s="148">
        <v>159.88981628417969</v>
      </c>
      <c r="H165" s="84"/>
      <c r="I165" s="83">
        <v>0.50249379873275757</v>
      </c>
      <c r="J165" s="85">
        <v>466</v>
      </c>
      <c r="K165" s="68"/>
    </row>
    <row r="166" spans="1:11" x14ac:dyDescent="0.2">
      <c r="A166" s="2">
        <v>67</v>
      </c>
      <c r="B166" s="2">
        <v>4</v>
      </c>
      <c r="C166" s="2">
        <v>13</v>
      </c>
      <c r="D166" t="s">
        <v>613</v>
      </c>
      <c r="E166" s="68">
        <v>132378.828125</v>
      </c>
      <c r="F166" s="84">
        <v>1.0353106260299683</v>
      </c>
      <c r="G166" s="148">
        <v>43810388</v>
      </c>
      <c r="H166" s="84"/>
      <c r="I166" s="83">
        <v>5.000000074505806E-2</v>
      </c>
      <c r="J166" s="85">
        <v>10.334829330444336</v>
      </c>
      <c r="K166" s="68"/>
    </row>
    <row r="167" spans="1:11" x14ac:dyDescent="0.2">
      <c r="A167" s="2">
        <v>68</v>
      </c>
      <c r="B167" s="2">
        <v>1</v>
      </c>
      <c r="C167" s="2">
        <v>5</v>
      </c>
      <c r="D167" t="s">
        <v>576</v>
      </c>
      <c r="E167" s="68">
        <v>3500</v>
      </c>
      <c r="F167" s="84">
        <v>2.7372861281037331E-2</v>
      </c>
      <c r="G167" s="148">
        <v>0</v>
      </c>
      <c r="H167" s="84"/>
      <c r="I167" s="83">
        <v>0</v>
      </c>
      <c r="J167" s="85">
        <v>3500</v>
      </c>
      <c r="K167" s="68"/>
    </row>
    <row r="168" spans="1:11" x14ac:dyDescent="0.2">
      <c r="A168" s="2">
        <v>69</v>
      </c>
      <c r="B168" s="2">
        <v>4</v>
      </c>
      <c r="C168" s="2">
        <v>2</v>
      </c>
      <c r="D168" t="s">
        <v>553</v>
      </c>
      <c r="E168" s="68">
        <v>324.629638671875</v>
      </c>
      <c r="F168" s="84">
        <v>2.5388691574335098E-3</v>
      </c>
      <c r="G168" s="148">
        <v>263.46099853515625</v>
      </c>
      <c r="H168" s="84"/>
      <c r="I168" s="83">
        <v>5.000000074505806E-2</v>
      </c>
      <c r="J168" s="85">
        <v>13.470108985900879</v>
      </c>
      <c r="K168" s="68"/>
    </row>
    <row r="169" spans="1:11" x14ac:dyDescent="0.2">
      <c r="A169" s="2">
        <v>70</v>
      </c>
      <c r="B169" s="2">
        <v>4</v>
      </c>
      <c r="C169" s="2">
        <v>3</v>
      </c>
      <c r="D169" t="s">
        <v>560</v>
      </c>
      <c r="E169" s="68">
        <v>8.942112922668457</v>
      </c>
      <c r="F169" s="84">
        <v>6.9934634666424245E-5</v>
      </c>
      <c r="G169" s="148">
        <v>0.1999034583568573</v>
      </c>
      <c r="H169" s="84"/>
      <c r="I169" s="83">
        <v>5.000000074505806E-2</v>
      </c>
      <c r="J169" s="85">
        <v>11.177640914916992</v>
      </c>
      <c r="K169" s="68"/>
    </row>
    <row r="170" spans="1:11" x14ac:dyDescent="0.2">
      <c r="A170" s="2">
        <v>71</v>
      </c>
      <c r="B170" s="2">
        <v>4</v>
      </c>
      <c r="C170" s="2">
        <v>6</v>
      </c>
      <c r="D170" t="s">
        <v>583</v>
      </c>
      <c r="E170" s="68">
        <v>125.24053955078125</v>
      </c>
      <c r="F170" s="84">
        <v>9.7948336042463779E-4</v>
      </c>
      <c r="G170" s="148">
        <v>39.212982177734375</v>
      </c>
      <c r="H170" s="84"/>
      <c r="I170" s="83">
        <v>5.000000074505806E-2</v>
      </c>
      <c r="J170" s="85">
        <v>10.890481948852539</v>
      </c>
      <c r="K170" s="68"/>
    </row>
    <row r="171" spans="1:11" x14ac:dyDescent="0.2">
      <c r="A171" s="2">
        <v>72</v>
      </c>
      <c r="B171" s="2">
        <v>4</v>
      </c>
      <c r="C171" s="2">
        <v>5</v>
      </c>
      <c r="D171" t="s">
        <v>577</v>
      </c>
      <c r="E171" s="68">
        <v>80.639755249023438</v>
      </c>
      <c r="F171" s="84">
        <v>6.3066877191886306E-4</v>
      </c>
      <c r="G171" s="148">
        <v>16.256925582885742</v>
      </c>
      <c r="H171" s="84"/>
      <c r="I171" s="83">
        <v>5.000000074505806E-2</v>
      </c>
      <c r="J171" s="85">
        <v>10.610494613647461</v>
      </c>
      <c r="K171" s="68"/>
    </row>
    <row r="172" spans="1:11" x14ac:dyDescent="0.2">
      <c r="A172" s="2">
        <v>73</v>
      </c>
      <c r="B172" s="2">
        <v>4</v>
      </c>
      <c r="C172" s="2">
        <v>10</v>
      </c>
      <c r="D172" t="s">
        <v>596</v>
      </c>
      <c r="E172" s="68">
        <v>9.3022565841674805</v>
      </c>
      <c r="F172" s="84">
        <v>7.2751252446323633E-5</v>
      </c>
      <c r="G172" s="148">
        <v>0.21632994711399078</v>
      </c>
      <c r="H172" s="84"/>
      <c r="I172" s="83">
        <v>5.000000074505806E-2</v>
      </c>
      <c r="J172" s="85">
        <v>9.3022565841674805</v>
      </c>
      <c r="K172" s="68"/>
    </row>
    <row r="173" spans="1:11" x14ac:dyDescent="0.2">
      <c r="A173" s="2">
        <v>74</v>
      </c>
      <c r="B173" s="2">
        <v>4</v>
      </c>
      <c r="C173" s="2">
        <v>10</v>
      </c>
      <c r="D173" t="s">
        <v>597</v>
      </c>
      <c r="E173" s="68">
        <v>10.23248291015625</v>
      </c>
      <c r="F173" s="84">
        <v>8.0026380601339042E-5</v>
      </c>
      <c r="G173" s="148">
        <v>0.26175928115844727</v>
      </c>
      <c r="H173" s="84"/>
      <c r="I173" s="83">
        <v>5.000000074505806E-2</v>
      </c>
      <c r="J173" s="85">
        <v>9.3022565841674805</v>
      </c>
      <c r="K173" s="68"/>
    </row>
    <row r="174" spans="1:11" x14ac:dyDescent="0.2">
      <c r="A174" t="s">
        <v>457</v>
      </c>
      <c r="E174" s="68">
        <v>325.43157958984375</v>
      </c>
      <c r="F174" s="84">
        <v>2.5451409164816141E-3</v>
      </c>
      <c r="G174" s="148">
        <v>0</v>
      </c>
      <c r="H174" s="84"/>
      <c r="I174" s="83">
        <v>0</v>
      </c>
      <c r="J174" s="85">
        <v>0.28749996423721313</v>
      </c>
      <c r="K174" s="68">
        <v>0.27599999308586121</v>
      </c>
    </row>
    <row r="175" spans="1:11" x14ac:dyDescent="0.2">
      <c r="A175" t="s">
        <v>458</v>
      </c>
      <c r="E175" s="68">
        <v>115142.203125</v>
      </c>
      <c r="F175" s="84">
        <v>0.90050613880157471</v>
      </c>
      <c r="G175" s="148">
        <v>0</v>
      </c>
      <c r="H175" s="84"/>
      <c r="I175" s="83">
        <v>0</v>
      </c>
      <c r="J175" s="85">
        <v>9.6430778503417969</v>
      </c>
      <c r="K175" s="68"/>
    </row>
    <row r="176" spans="1:11" x14ac:dyDescent="0.2">
      <c r="A176" t="s">
        <v>459</v>
      </c>
      <c r="E176" s="68">
        <v>12396.244140625</v>
      </c>
      <c r="F176" s="84">
        <v>9.6948757767677307E-2</v>
      </c>
      <c r="G176" s="148">
        <v>0</v>
      </c>
      <c r="H176" s="84"/>
      <c r="I176" s="83">
        <v>0</v>
      </c>
      <c r="J176" s="85">
        <v>237.13975524902344</v>
      </c>
      <c r="K176" s="68"/>
    </row>
    <row r="177" spans="1:11" x14ac:dyDescent="0.2">
      <c r="A177" t="s">
        <v>460</v>
      </c>
      <c r="E177" s="68">
        <v>127863.875</v>
      </c>
      <c r="F177" s="84">
        <v>1</v>
      </c>
      <c r="G177" s="148">
        <v>0</v>
      </c>
      <c r="H177" s="84"/>
      <c r="I177" s="83">
        <v>0</v>
      </c>
      <c r="J177" s="85">
        <v>9.7422990798950195</v>
      </c>
      <c r="K177" s="68">
        <v>108.44192504882813</v>
      </c>
    </row>
    <row r="178" spans="1:11" x14ac:dyDescent="0.2">
      <c r="A178" t="s">
        <v>461</v>
      </c>
      <c r="E178" s="68">
        <v>132937.796875</v>
      </c>
      <c r="F178" s="84">
        <v>1.0396822690963745</v>
      </c>
      <c r="G178" s="148">
        <v>0</v>
      </c>
      <c r="H178" s="84"/>
      <c r="I178" s="83">
        <v>0</v>
      </c>
      <c r="J178" s="85">
        <v>10.341250419616699</v>
      </c>
      <c r="K178" s="68"/>
    </row>
    <row r="179" spans="1:11" x14ac:dyDescent="0.2">
      <c r="A179" t="s">
        <v>462</v>
      </c>
      <c r="E179" s="68">
        <v>-1357.8341064453125</v>
      </c>
      <c r="F179" s="84"/>
      <c r="G179" s="148">
        <v>0</v>
      </c>
      <c r="H179" s="84"/>
      <c r="I179" s="83">
        <v>0</v>
      </c>
      <c r="J179" s="85">
        <v>10.334829330444336</v>
      </c>
      <c r="K179" s="68"/>
    </row>
    <row r="180" spans="1:11" x14ac:dyDescent="0.2">
      <c r="A180" t="s">
        <v>463</v>
      </c>
      <c r="E180" s="68">
        <v>131579.96875</v>
      </c>
      <c r="F180" s="84">
        <v>1.0290628671646118</v>
      </c>
      <c r="G180" s="148">
        <v>0</v>
      </c>
      <c r="H180" s="84"/>
      <c r="I180" s="83">
        <v>0</v>
      </c>
      <c r="J180" s="85">
        <v>10.341317176818848</v>
      </c>
      <c r="K180" s="68">
        <v>111.59356689453125</v>
      </c>
    </row>
    <row r="181" spans="1:11" x14ac:dyDescent="0.2">
      <c r="A181" t="s">
        <v>544</v>
      </c>
      <c r="E181" s="68">
        <v>-3714.78759765625</v>
      </c>
      <c r="F181" s="84"/>
      <c r="G181" s="148">
        <v>0</v>
      </c>
      <c r="H181" s="84"/>
      <c r="I181" s="83">
        <v>0</v>
      </c>
      <c r="J181" s="85">
        <v>10.162993431091309</v>
      </c>
      <c r="K181" s="68"/>
    </row>
    <row r="182" spans="1:11" x14ac:dyDescent="0.2">
      <c r="A182" t="s">
        <v>465</v>
      </c>
      <c r="E182" s="68">
        <v>-1.30615234375</v>
      </c>
      <c r="F182" s="84"/>
      <c r="G182" s="148">
        <v>0</v>
      </c>
      <c r="H182" s="84"/>
      <c r="I182" s="83">
        <v>0</v>
      </c>
      <c r="J182" s="85"/>
      <c r="K182" s="68"/>
    </row>
    <row r="184" spans="1:11" x14ac:dyDescent="0.2">
      <c r="B184" t="s">
        <v>466</v>
      </c>
      <c r="E184" s="68">
        <v>10.481040000915527</v>
      </c>
      <c r="G184" t="s">
        <v>469</v>
      </c>
      <c r="J184" s="86">
        <v>2.0517044067382813</v>
      </c>
    </row>
    <row r="185" spans="1:11" x14ac:dyDescent="0.2">
      <c r="B185" t="s">
        <v>467</v>
      </c>
      <c r="E185" s="86">
        <v>2.0887477397918701</v>
      </c>
      <c r="G185" t="s">
        <v>470</v>
      </c>
      <c r="J185" s="68">
        <v>0.4873996376991272</v>
      </c>
    </row>
    <row r="186" spans="1:11" x14ac:dyDescent="0.2">
      <c r="B186" t="s">
        <v>468</v>
      </c>
      <c r="E186" s="85">
        <v>10.162993431091309</v>
      </c>
      <c r="G186" t="s">
        <v>471</v>
      </c>
      <c r="J186" s="149">
        <v>-1.0215178917860612E-5</v>
      </c>
    </row>
    <row r="189" spans="1:11" x14ac:dyDescent="0.2">
      <c r="A189" s="19" t="s">
        <v>135</v>
      </c>
      <c r="B189" s="9"/>
      <c r="D189" s="9"/>
      <c r="E189" s="9" t="s">
        <v>90</v>
      </c>
      <c r="F189" s="71"/>
      <c r="G189" s="19" t="s">
        <v>129</v>
      </c>
      <c r="H189" s="9"/>
      <c r="I189" s="9"/>
      <c r="J189" s="9"/>
      <c r="K189" s="9"/>
    </row>
    <row r="190" spans="1:11" x14ac:dyDescent="0.2">
      <c r="A190" s="9" t="s">
        <v>162</v>
      </c>
      <c r="B190" s="9"/>
      <c r="D190" s="9"/>
      <c r="E190" s="9" t="s">
        <v>274</v>
      </c>
      <c r="F190" s="9"/>
      <c r="G190" s="9"/>
      <c r="H190" s="9"/>
      <c r="I190" s="9"/>
      <c r="J190" s="9"/>
      <c r="K190" s="9"/>
    </row>
    <row r="191" spans="1:11" x14ac:dyDescent="0.2">
      <c r="A191" s="9"/>
      <c r="B191" s="9"/>
      <c r="D191" s="9"/>
      <c r="E191" s="71" t="s">
        <v>85</v>
      </c>
      <c r="F191" s="71"/>
      <c r="G191" s="70" t="s">
        <v>190</v>
      </c>
      <c r="H191" s="71"/>
      <c r="I191" s="71"/>
      <c r="J191" s="71" t="s">
        <v>164</v>
      </c>
      <c r="K191" s="71" t="s">
        <v>165</v>
      </c>
    </row>
    <row r="192" spans="1:11" ht="14.25" x14ac:dyDescent="0.2">
      <c r="A192" s="74" t="s">
        <v>521</v>
      </c>
      <c r="B192" s="73" t="s">
        <v>159</v>
      </c>
      <c r="C192" s="73" t="s">
        <v>251</v>
      </c>
      <c r="D192" s="74" t="s">
        <v>143</v>
      </c>
      <c r="E192" s="75" t="s">
        <v>163</v>
      </c>
      <c r="F192" s="76" t="s">
        <v>193</v>
      </c>
      <c r="G192" s="76" t="s">
        <v>187</v>
      </c>
      <c r="H192" s="76" t="s">
        <v>193</v>
      </c>
      <c r="I192" s="75" t="s">
        <v>184</v>
      </c>
      <c r="J192" s="76" t="s">
        <v>189</v>
      </c>
      <c r="K192" s="76" t="s">
        <v>188</v>
      </c>
    </row>
    <row r="194" spans="1:11" x14ac:dyDescent="0.2">
      <c r="A194" s="2">
        <v>1</v>
      </c>
      <c r="B194" s="2">
        <v>1</v>
      </c>
      <c r="C194" s="2">
        <v>1</v>
      </c>
      <c r="D194" t="s">
        <v>538</v>
      </c>
      <c r="E194" s="68">
        <v>152</v>
      </c>
      <c r="F194" s="84">
        <v>1.7075160576496273E-4</v>
      </c>
      <c r="G194" s="148">
        <v>671.61016845703125</v>
      </c>
      <c r="H194" s="84"/>
      <c r="I194" s="83">
        <v>0.17049632966518402</v>
      </c>
      <c r="J194" s="85">
        <v>8</v>
      </c>
      <c r="K194" s="68"/>
    </row>
    <row r="195" spans="1:11" x14ac:dyDescent="0.2">
      <c r="A195" s="2">
        <v>2</v>
      </c>
      <c r="B195" s="2">
        <v>1</v>
      </c>
      <c r="C195" s="2">
        <v>1</v>
      </c>
      <c r="D195" t="s">
        <v>539</v>
      </c>
      <c r="E195" s="68">
        <v>49059</v>
      </c>
      <c r="F195" s="84">
        <v>5.5111203342676163E-2</v>
      </c>
      <c r="G195" s="148">
        <v>19918556</v>
      </c>
      <c r="H195" s="84"/>
      <c r="I195" s="83">
        <v>9.0972520411014557E-2</v>
      </c>
      <c r="J195" s="85">
        <v>79</v>
      </c>
      <c r="K195" s="68"/>
    </row>
    <row r="196" spans="1:11" x14ac:dyDescent="0.2">
      <c r="A196" s="2">
        <v>3</v>
      </c>
      <c r="B196" s="2">
        <v>1</v>
      </c>
      <c r="C196" s="2">
        <v>1</v>
      </c>
      <c r="D196" t="s">
        <v>540</v>
      </c>
      <c r="E196" s="68">
        <v>32277</v>
      </c>
      <c r="F196" s="84">
        <v>3.6258876323699951E-2</v>
      </c>
      <c r="G196" s="148">
        <v>15440590</v>
      </c>
      <c r="H196" s="84"/>
      <c r="I196" s="83">
        <v>0.12174154072999954</v>
      </c>
      <c r="J196" s="85">
        <v>87</v>
      </c>
      <c r="K196" s="68"/>
    </row>
    <row r="197" spans="1:11" x14ac:dyDescent="0.2">
      <c r="A197" s="2">
        <v>4</v>
      </c>
      <c r="B197" s="2">
        <v>1</v>
      </c>
      <c r="C197" s="2">
        <v>1</v>
      </c>
      <c r="D197" t="s">
        <v>541</v>
      </c>
      <c r="E197" s="68">
        <v>1280</v>
      </c>
      <c r="F197" s="84">
        <v>1.437908154912293E-3</v>
      </c>
      <c r="G197" s="148">
        <v>131072</v>
      </c>
      <c r="H197" s="84"/>
      <c r="I197" s="83">
        <v>0.2828427255153656</v>
      </c>
      <c r="J197" s="85">
        <v>80</v>
      </c>
      <c r="K197" s="68"/>
    </row>
    <row r="198" spans="1:11" x14ac:dyDescent="0.2">
      <c r="A198" s="2">
        <v>5</v>
      </c>
      <c r="B198" s="2">
        <v>1</v>
      </c>
      <c r="C198" s="2">
        <v>1</v>
      </c>
      <c r="D198" t="s">
        <v>542</v>
      </c>
      <c r="E198" s="68">
        <v>496</v>
      </c>
      <c r="F198" s="84">
        <v>5.5718939984217286E-4</v>
      </c>
      <c r="G198" s="148">
        <v>19681.28125</v>
      </c>
      <c r="H198" s="84"/>
      <c r="I198" s="83">
        <v>0.2828427255153656</v>
      </c>
      <c r="J198" s="85">
        <v>8</v>
      </c>
      <c r="K198" s="68"/>
    </row>
    <row r="199" spans="1:11" x14ac:dyDescent="0.2">
      <c r="A199" s="2">
        <v>6</v>
      </c>
      <c r="B199" s="2">
        <v>3</v>
      </c>
      <c r="C199" s="2">
        <v>1</v>
      </c>
      <c r="D199" t="s">
        <v>543</v>
      </c>
      <c r="E199" s="68">
        <v>710.4000244140625</v>
      </c>
      <c r="F199" s="84">
        <v>7.9803908010944724E-4</v>
      </c>
      <c r="G199" s="148">
        <v>15846.58203125</v>
      </c>
      <c r="H199" s="84"/>
      <c r="I199" s="83">
        <v>0.17720045149326324</v>
      </c>
      <c r="J199" s="85">
        <v>960</v>
      </c>
      <c r="K199" s="68"/>
    </row>
    <row r="200" spans="1:11" x14ac:dyDescent="0.2">
      <c r="A200" s="2">
        <v>7</v>
      </c>
      <c r="B200" s="2">
        <v>1</v>
      </c>
      <c r="C200" s="2">
        <v>2</v>
      </c>
      <c r="D200" t="s">
        <v>545</v>
      </c>
      <c r="E200" s="68">
        <v>742</v>
      </c>
      <c r="F200" s="84">
        <v>8.3353742957115173E-4</v>
      </c>
      <c r="G200" s="148">
        <v>24288.68359375</v>
      </c>
      <c r="H200" s="84"/>
      <c r="I200" s="83">
        <v>0.21003809571266174</v>
      </c>
      <c r="J200" s="85">
        <v>53</v>
      </c>
      <c r="K200" s="68"/>
    </row>
    <row r="201" spans="1:11" x14ac:dyDescent="0.2">
      <c r="A201" s="2">
        <v>8</v>
      </c>
      <c r="B201" s="2">
        <v>1</v>
      </c>
      <c r="C201" s="2">
        <v>2</v>
      </c>
      <c r="D201" t="s">
        <v>546</v>
      </c>
      <c r="E201" s="68">
        <v>1820</v>
      </c>
      <c r="F201" s="84">
        <v>2.044525695964694E-3</v>
      </c>
      <c r="G201" s="148">
        <v>143257.984375</v>
      </c>
      <c r="H201" s="84"/>
      <c r="I201" s="83">
        <v>0.20796394348144531</v>
      </c>
      <c r="J201" s="85">
        <v>52</v>
      </c>
      <c r="K201" s="68"/>
    </row>
    <row r="202" spans="1:11" x14ac:dyDescent="0.2">
      <c r="A202" s="2">
        <v>9</v>
      </c>
      <c r="B202" s="2">
        <v>1</v>
      </c>
      <c r="C202" s="2">
        <v>2</v>
      </c>
      <c r="D202" t="s">
        <v>547</v>
      </c>
      <c r="E202" s="68">
        <v>1460</v>
      </c>
      <c r="F202" s="84">
        <v>1.64011400192976E-3</v>
      </c>
      <c r="G202" s="148">
        <v>93195.6875</v>
      </c>
      <c r="H202" s="84"/>
      <c r="I202" s="83">
        <v>0.20909567177295685</v>
      </c>
      <c r="J202" s="85">
        <v>4</v>
      </c>
      <c r="K202" s="68"/>
    </row>
    <row r="203" spans="1:11" x14ac:dyDescent="0.2">
      <c r="A203" s="2">
        <v>10</v>
      </c>
      <c r="B203" s="2">
        <v>1</v>
      </c>
      <c r="C203" s="2">
        <v>2</v>
      </c>
      <c r="D203" t="s">
        <v>548</v>
      </c>
      <c r="E203" s="68">
        <v>2280</v>
      </c>
      <c r="F203" s="84">
        <v>2.5612739846110344E-3</v>
      </c>
      <c r="G203" s="148">
        <v>280864.34375</v>
      </c>
      <c r="H203" s="84"/>
      <c r="I203" s="83">
        <v>0.23244138062000275</v>
      </c>
      <c r="J203" s="85">
        <v>24</v>
      </c>
      <c r="K203" s="68"/>
    </row>
    <row r="204" spans="1:11" x14ac:dyDescent="0.2">
      <c r="A204" s="2">
        <v>11</v>
      </c>
      <c r="B204" s="2">
        <v>1</v>
      </c>
      <c r="C204" s="2">
        <v>2</v>
      </c>
      <c r="D204" t="s">
        <v>549</v>
      </c>
      <c r="E204" s="68">
        <v>1815</v>
      </c>
      <c r="F204" s="84">
        <v>2.0389088895171881E-3</v>
      </c>
      <c r="G204" s="148">
        <v>263538</v>
      </c>
      <c r="H204" s="84"/>
      <c r="I204" s="83">
        <v>0.2828427255153656</v>
      </c>
      <c r="J204" s="85">
        <v>55</v>
      </c>
      <c r="K204" s="68"/>
    </row>
    <row r="205" spans="1:11" x14ac:dyDescent="0.2">
      <c r="A205" s="2">
        <v>12</v>
      </c>
      <c r="B205" s="2">
        <v>1</v>
      </c>
      <c r="C205" s="2">
        <v>2</v>
      </c>
      <c r="D205" t="s">
        <v>550</v>
      </c>
      <c r="E205" s="68">
        <v>1104</v>
      </c>
      <c r="F205" s="84">
        <v>1.2401958229020238E-3</v>
      </c>
      <c r="G205" s="148">
        <v>97505.28125</v>
      </c>
      <c r="H205" s="84"/>
      <c r="I205" s="83">
        <v>0.2828427255153656</v>
      </c>
      <c r="J205" s="85">
        <v>23</v>
      </c>
      <c r="K205" s="68"/>
    </row>
    <row r="206" spans="1:11" x14ac:dyDescent="0.2">
      <c r="A206" s="2">
        <v>13</v>
      </c>
      <c r="B206" s="2">
        <v>3</v>
      </c>
      <c r="C206" s="2">
        <v>2</v>
      </c>
      <c r="D206" t="s">
        <v>551</v>
      </c>
      <c r="E206" s="68">
        <v>1456</v>
      </c>
      <c r="F206" s="84">
        <v>1.6356206033378839E-3</v>
      </c>
      <c r="G206" s="148">
        <v>66565.9921875</v>
      </c>
      <c r="H206" s="84"/>
      <c r="I206" s="83">
        <v>0.17720045149326324</v>
      </c>
      <c r="J206" s="85">
        <v>1120</v>
      </c>
      <c r="K206" s="68"/>
    </row>
    <row r="207" spans="1:11" x14ac:dyDescent="0.2">
      <c r="A207" s="2">
        <v>14</v>
      </c>
      <c r="B207" s="2">
        <v>3</v>
      </c>
      <c r="C207" s="2">
        <v>2</v>
      </c>
      <c r="D207" t="s">
        <v>552</v>
      </c>
      <c r="E207" s="68">
        <v>8160</v>
      </c>
      <c r="F207" s="84">
        <v>9.1666644439101219E-3</v>
      </c>
      <c r="G207" s="148">
        <v>2090787.875</v>
      </c>
      <c r="H207" s="84"/>
      <c r="I207" s="83">
        <v>0.17720045149326324</v>
      </c>
      <c r="J207" s="85">
        <v>340</v>
      </c>
      <c r="K207" s="68"/>
    </row>
    <row r="208" spans="1:11" x14ac:dyDescent="0.2">
      <c r="A208" s="2">
        <v>15</v>
      </c>
      <c r="B208" s="2">
        <v>1</v>
      </c>
      <c r="C208" s="2">
        <v>3</v>
      </c>
      <c r="D208" t="s">
        <v>554</v>
      </c>
      <c r="E208" s="68">
        <v>1295</v>
      </c>
      <c r="F208" s="84">
        <v>1.4547586906701326E-3</v>
      </c>
      <c r="G208" s="148">
        <v>22681.76171875</v>
      </c>
      <c r="H208" s="84"/>
      <c r="I208" s="83">
        <v>0.11629702895879745</v>
      </c>
      <c r="J208" s="85">
        <v>35</v>
      </c>
      <c r="K208" s="68"/>
    </row>
    <row r="209" spans="1:11" x14ac:dyDescent="0.2">
      <c r="A209" s="2">
        <v>16</v>
      </c>
      <c r="B209" s="2">
        <v>1</v>
      </c>
      <c r="C209" s="2">
        <v>3</v>
      </c>
      <c r="D209" t="s">
        <v>555</v>
      </c>
      <c r="E209" s="68">
        <v>871</v>
      </c>
      <c r="F209" s="84">
        <v>9.7845157142728567E-4</v>
      </c>
      <c r="G209" s="148">
        <v>27025.826171875</v>
      </c>
      <c r="H209" s="84"/>
      <c r="I209" s="83">
        <v>0.18874320387840271</v>
      </c>
      <c r="J209" s="85">
        <v>67</v>
      </c>
      <c r="K209" s="68"/>
    </row>
    <row r="210" spans="1:11" x14ac:dyDescent="0.2">
      <c r="A210" s="2">
        <v>17</v>
      </c>
      <c r="B210" s="2">
        <v>1</v>
      </c>
      <c r="C210" s="2">
        <v>3</v>
      </c>
      <c r="D210" t="s">
        <v>556</v>
      </c>
      <c r="E210" s="68">
        <v>550</v>
      </c>
      <c r="F210" s="84">
        <v>6.1785115394741297E-4</v>
      </c>
      <c r="G210" s="148">
        <v>24200</v>
      </c>
      <c r="H210" s="84"/>
      <c r="I210" s="83">
        <v>0.2828427255153656</v>
      </c>
      <c r="J210" s="85">
        <v>55</v>
      </c>
      <c r="K210" s="68"/>
    </row>
    <row r="211" spans="1:11" x14ac:dyDescent="0.2">
      <c r="A211" s="2">
        <v>18</v>
      </c>
      <c r="B211" s="2">
        <v>1</v>
      </c>
      <c r="C211" s="2">
        <v>3</v>
      </c>
      <c r="D211" t="s">
        <v>557</v>
      </c>
      <c r="E211" s="68">
        <v>2838</v>
      </c>
      <c r="F211" s="84">
        <v>3.1881120521575212E-3</v>
      </c>
      <c r="G211" s="148">
        <v>644339.5625</v>
      </c>
      <c r="H211" s="84"/>
      <c r="I211" s="83">
        <v>0.2828427255153656</v>
      </c>
      <c r="J211" s="85">
        <v>43</v>
      </c>
      <c r="K211" s="68"/>
    </row>
    <row r="212" spans="1:11" x14ac:dyDescent="0.2">
      <c r="A212" s="2">
        <v>19</v>
      </c>
      <c r="B212" s="2">
        <v>3</v>
      </c>
      <c r="C212" s="2">
        <v>3</v>
      </c>
      <c r="D212" t="s">
        <v>558</v>
      </c>
      <c r="E212" s="68">
        <v>1555.199951171875</v>
      </c>
      <c r="F212" s="84">
        <v>1.7470583552494645E-3</v>
      </c>
      <c r="G212" s="148">
        <v>35312.24609375</v>
      </c>
      <c r="H212" s="84"/>
      <c r="I212" s="83">
        <v>0.12083046138286591</v>
      </c>
      <c r="J212" s="85">
        <v>1920</v>
      </c>
      <c r="K212" s="68"/>
    </row>
    <row r="213" spans="1:11" x14ac:dyDescent="0.2">
      <c r="A213" s="2">
        <v>20</v>
      </c>
      <c r="B213" s="2">
        <v>3</v>
      </c>
      <c r="C213" s="2">
        <v>3</v>
      </c>
      <c r="D213" t="s">
        <v>559</v>
      </c>
      <c r="E213" s="68">
        <v>217.19999694824219</v>
      </c>
      <c r="F213" s="84">
        <v>2.4399504764005542E-4</v>
      </c>
      <c r="G213" s="148">
        <v>915.21124267578125</v>
      </c>
      <c r="H213" s="84"/>
      <c r="I213" s="83">
        <v>0.13928388059139252</v>
      </c>
      <c r="J213" s="85">
        <v>1810</v>
      </c>
      <c r="K213" s="68"/>
    </row>
    <row r="214" spans="1:11" x14ac:dyDescent="0.2">
      <c r="A214" s="2">
        <v>21</v>
      </c>
      <c r="B214" s="2">
        <v>1</v>
      </c>
      <c r="C214" s="2">
        <v>4</v>
      </c>
      <c r="D214" t="s">
        <v>561</v>
      </c>
      <c r="E214" s="68">
        <v>141273</v>
      </c>
      <c r="F214" s="84">
        <v>0.15870125591754913</v>
      </c>
      <c r="G214" s="148">
        <v>126613936</v>
      </c>
      <c r="H214" s="84"/>
      <c r="I214" s="83">
        <v>7.964923232793808E-2</v>
      </c>
      <c r="J214" s="85">
        <v>99</v>
      </c>
      <c r="K214" s="68"/>
    </row>
    <row r="215" spans="1:11" x14ac:dyDescent="0.2">
      <c r="A215" s="2">
        <v>22</v>
      </c>
      <c r="B215" s="2">
        <v>1</v>
      </c>
      <c r="C215" s="2">
        <v>4</v>
      </c>
      <c r="D215" t="s">
        <v>562</v>
      </c>
      <c r="E215" s="68">
        <v>9760</v>
      </c>
      <c r="F215" s="84">
        <v>1.0964049957692623E-2</v>
      </c>
      <c r="G215" s="148">
        <v>640607.3125</v>
      </c>
      <c r="H215" s="84"/>
      <c r="I215" s="83">
        <v>8.2006096839904785E-2</v>
      </c>
      <c r="J215" s="85">
        <v>122</v>
      </c>
      <c r="K215" s="68"/>
    </row>
    <row r="216" spans="1:11" x14ac:dyDescent="0.2">
      <c r="A216" s="2">
        <v>23</v>
      </c>
      <c r="B216" s="2">
        <v>1</v>
      </c>
      <c r="C216" s="2">
        <v>4</v>
      </c>
      <c r="D216" t="s">
        <v>563</v>
      </c>
      <c r="E216" s="68">
        <v>10324</v>
      </c>
      <c r="F216" s="84">
        <v>1.1597628705203533E-2</v>
      </c>
      <c r="G216" s="148">
        <v>1509669.625</v>
      </c>
      <c r="H216" s="84"/>
      <c r="I216" s="83">
        <v>0.11901260167360306</v>
      </c>
      <c r="J216" s="85">
        <v>89</v>
      </c>
      <c r="K216" s="68"/>
    </row>
    <row r="217" spans="1:11" x14ac:dyDescent="0.2">
      <c r="A217" s="2">
        <v>24</v>
      </c>
      <c r="B217" s="2">
        <v>1</v>
      </c>
      <c r="C217" s="2">
        <v>4</v>
      </c>
      <c r="D217" t="s">
        <v>564</v>
      </c>
      <c r="E217" s="68">
        <v>1176</v>
      </c>
      <c r="F217" s="84">
        <v>1.3210781617090106E-3</v>
      </c>
      <c r="G217" s="148">
        <v>110638.0859375</v>
      </c>
      <c r="H217" s="84"/>
      <c r="I217" s="83">
        <v>0.2828427255153656</v>
      </c>
      <c r="J217" s="85">
        <v>98</v>
      </c>
      <c r="K217" s="68"/>
    </row>
    <row r="218" spans="1:11" x14ac:dyDescent="0.2">
      <c r="A218" s="2">
        <v>25</v>
      </c>
      <c r="B218" s="2">
        <v>1</v>
      </c>
      <c r="C218" s="2">
        <v>4</v>
      </c>
      <c r="D218" t="s">
        <v>565</v>
      </c>
      <c r="E218" s="68">
        <v>142.59999084472656</v>
      </c>
      <c r="F218" s="84">
        <v>1.6019195027183741E-4</v>
      </c>
      <c r="G218" s="148">
        <v>1626.7806396484375</v>
      </c>
      <c r="H218" s="84"/>
      <c r="I218" s="83">
        <v>0.2828427255153656</v>
      </c>
      <c r="J218" s="85">
        <v>62</v>
      </c>
      <c r="K218" s="68"/>
    </row>
    <row r="219" spans="1:11" x14ac:dyDescent="0.2">
      <c r="A219" s="2">
        <v>26</v>
      </c>
      <c r="B219" s="2">
        <v>3</v>
      </c>
      <c r="C219" s="2">
        <v>4</v>
      </c>
      <c r="D219" t="s">
        <v>566</v>
      </c>
      <c r="E219" s="68">
        <v>454.99996948242188</v>
      </c>
      <c r="F219" s="84">
        <v>5.1113142399117351E-4</v>
      </c>
      <c r="G219" s="148">
        <v>8798.5615234375</v>
      </c>
      <c r="H219" s="84"/>
      <c r="I219" s="83">
        <v>0.20615528523921967</v>
      </c>
      <c r="J219" s="85">
        <v>700</v>
      </c>
      <c r="K219" s="68"/>
    </row>
    <row r="220" spans="1:11" x14ac:dyDescent="0.2">
      <c r="A220" s="2">
        <v>27</v>
      </c>
      <c r="B220" s="2">
        <v>1</v>
      </c>
      <c r="C220" s="2">
        <v>5</v>
      </c>
      <c r="D220" t="s">
        <v>567</v>
      </c>
      <c r="E220" s="68">
        <v>21660</v>
      </c>
      <c r="F220" s="84">
        <v>2.4332102388143539E-2</v>
      </c>
      <c r="G220" s="148">
        <v>11870105</v>
      </c>
      <c r="H220" s="84"/>
      <c r="I220" s="83">
        <v>0.15906287729740143</v>
      </c>
      <c r="J220" s="85">
        <v>60</v>
      </c>
      <c r="K220" s="68"/>
    </row>
    <row r="221" spans="1:11" x14ac:dyDescent="0.2">
      <c r="A221" s="2">
        <v>28</v>
      </c>
      <c r="B221" s="2">
        <v>1</v>
      </c>
      <c r="C221" s="2">
        <v>5</v>
      </c>
      <c r="D221" t="s">
        <v>568</v>
      </c>
      <c r="E221" s="68">
        <v>144</v>
      </c>
      <c r="F221" s="84">
        <v>1.6176467761397362E-4</v>
      </c>
      <c r="G221" s="148">
        <v>205.20346069335938</v>
      </c>
      <c r="H221" s="84"/>
      <c r="I221" s="83">
        <v>9.9478639662265778E-2</v>
      </c>
      <c r="J221" s="85">
        <v>12</v>
      </c>
      <c r="K221" s="68"/>
    </row>
    <row r="222" spans="1:11" x14ac:dyDescent="0.2">
      <c r="A222" s="2">
        <v>29</v>
      </c>
      <c r="B222" s="2">
        <v>1</v>
      </c>
      <c r="C222" s="2">
        <v>5</v>
      </c>
      <c r="D222" t="s">
        <v>569</v>
      </c>
      <c r="E222" s="68">
        <v>154231</v>
      </c>
      <c r="F222" s="84">
        <v>0.17325782775878906</v>
      </c>
      <c r="G222" s="148">
        <v>223338016</v>
      </c>
      <c r="H222" s="84"/>
      <c r="I222" s="83">
        <v>9.6896849572658539E-2</v>
      </c>
      <c r="J222" s="85">
        <v>77</v>
      </c>
      <c r="K222" s="68"/>
    </row>
    <row r="223" spans="1:11" x14ac:dyDescent="0.2">
      <c r="A223" s="2">
        <v>30</v>
      </c>
      <c r="B223" s="2">
        <v>1</v>
      </c>
      <c r="C223" s="2">
        <v>5</v>
      </c>
      <c r="D223" t="s">
        <v>570</v>
      </c>
      <c r="E223" s="68">
        <v>24120</v>
      </c>
      <c r="F223" s="84">
        <v>2.7095582336187363E-2</v>
      </c>
      <c r="G223" s="148">
        <v>12857214</v>
      </c>
      <c r="H223" s="84"/>
      <c r="I223" s="83">
        <v>0.14866068959236145</v>
      </c>
      <c r="J223" s="85">
        <v>30</v>
      </c>
      <c r="K223" s="68"/>
    </row>
    <row r="224" spans="1:11" x14ac:dyDescent="0.2">
      <c r="A224" s="2">
        <v>31</v>
      </c>
      <c r="B224" s="2">
        <v>1</v>
      </c>
      <c r="C224" s="2">
        <v>5</v>
      </c>
      <c r="D224" t="s">
        <v>571</v>
      </c>
      <c r="E224" s="68">
        <v>4620</v>
      </c>
      <c r="F224" s="84">
        <v>5.1899501122534275E-3</v>
      </c>
      <c r="G224" s="148">
        <v>392224.71875</v>
      </c>
      <c r="H224" s="84"/>
      <c r="I224" s="83">
        <v>0.1355581134557724</v>
      </c>
      <c r="J224" s="85">
        <v>55</v>
      </c>
      <c r="K224" s="68"/>
    </row>
    <row r="225" spans="1:11" x14ac:dyDescent="0.2">
      <c r="A225" s="2">
        <v>32</v>
      </c>
      <c r="B225" s="2">
        <v>1</v>
      </c>
      <c r="C225" s="2">
        <v>5</v>
      </c>
      <c r="D225" t="s">
        <v>572</v>
      </c>
      <c r="E225" s="68">
        <v>1984</v>
      </c>
      <c r="F225" s="84">
        <v>2.2287575993686914E-3</v>
      </c>
      <c r="G225" s="148">
        <v>67471.3671875</v>
      </c>
      <c r="H225" s="84"/>
      <c r="I225" s="83">
        <v>0.13092364370822906</v>
      </c>
      <c r="J225" s="85">
        <v>32</v>
      </c>
      <c r="K225" s="68"/>
    </row>
    <row r="226" spans="1:11" x14ac:dyDescent="0.2">
      <c r="A226" s="2">
        <v>33</v>
      </c>
      <c r="B226" s="2">
        <v>1</v>
      </c>
      <c r="C226" s="2">
        <v>5</v>
      </c>
      <c r="D226" t="s">
        <v>573</v>
      </c>
      <c r="E226" s="68">
        <v>1332</v>
      </c>
      <c r="F226" s="84">
        <v>1.496323267929256E-3</v>
      </c>
      <c r="G226" s="148">
        <v>141937.921875</v>
      </c>
      <c r="H226" s="84"/>
      <c r="I226" s="83">
        <v>0.2828427255153656</v>
      </c>
      <c r="J226" s="85">
        <v>74</v>
      </c>
      <c r="K226" s="68"/>
    </row>
    <row r="227" spans="1:11" x14ac:dyDescent="0.2">
      <c r="A227" s="2">
        <v>34</v>
      </c>
      <c r="B227" s="2">
        <v>1</v>
      </c>
      <c r="C227" s="2">
        <v>5</v>
      </c>
      <c r="D227" t="s">
        <v>574</v>
      </c>
      <c r="E227" s="68">
        <v>1870</v>
      </c>
      <c r="F227" s="84">
        <v>2.1006939932703972E-3</v>
      </c>
      <c r="G227" s="148">
        <v>279752</v>
      </c>
      <c r="H227" s="84"/>
      <c r="I227" s="83">
        <v>0.2828427255153656</v>
      </c>
      <c r="J227" s="85">
        <v>34</v>
      </c>
      <c r="K227" s="68"/>
    </row>
    <row r="228" spans="1:11" x14ac:dyDescent="0.2">
      <c r="A228" s="2">
        <v>35</v>
      </c>
      <c r="B228" s="2">
        <v>3</v>
      </c>
      <c r="C228" s="2">
        <v>5</v>
      </c>
      <c r="D228" t="s">
        <v>575</v>
      </c>
      <c r="E228" s="68">
        <v>3438</v>
      </c>
      <c r="F228" s="84">
        <v>3.8621316198259592E-3</v>
      </c>
      <c r="G228" s="148">
        <v>147748.046875</v>
      </c>
      <c r="H228" s="84"/>
      <c r="I228" s="83">
        <v>0.11180339753627777</v>
      </c>
      <c r="J228" s="85">
        <v>1910</v>
      </c>
      <c r="K228" s="68"/>
    </row>
    <row r="229" spans="1:11" x14ac:dyDescent="0.2">
      <c r="A229" s="2">
        <v>36</v>
      </c>
      <c r="B229" s="2">
        <v>1</v>
      </c>
      <c r="C229" s="2">
        <v>6</v>
      </c>
      <c r="D229" t="s">
        <v>578</v>
      </c>
      <c r="E229" s="68">
        <v>14674</v>
      </c>
      <c r="F229" s="84">
        <v>1.6484269872307777E-2</v>
      </c>
      <c r="G229" s="148">
        <v>1420292.25</v>
      </c>
      <c r="H229" s="84"/>
      <c r="I229" s="83">
        <v>8.1215769052505493E-2</v>
      </c>
      <c r="J229" s="85">
        <v>253</v>
      </c>
      <c r="K229" s="68"/>
    </row>
    <row r="230" spans="1:11" x14ac:dyDescent="0.2">
      <c r="A230" s="2">
        <v>37</v>
      </c>
      <c r="B230" s="2">
        <v>1</v>
      </c>
      <c r="C230" s="2">
        <v>6</v>
      </c>
      <c r="D230" t="s">
        <v>579</v>
      </c>
      <c r="E230" s="68">
        <v>4064</v>
      </c>
      <c r="F230" s="84">
        <v>4.5653586275875568E-3</v>
      </c>
      <c r="G230" s="148">
        <v>1321287.75</v>
      </c>
      <c r="H230" s="84"/>
      <c r="I230" s="83">
        <v>0.2828427255153656</v>
      </c>
      <c r="J230" s="85">
        <v>254</v>
      </c>
      <c r="K230" s="68"/>
    </row>
    <row r="231" spans="1:11" x14ac:dyDescent="0.2">
      <c r="A231" s="2">
        <v>38</v>
      </c>
      <c r="B231" s="2">
        <v>3</v>
      </c>
      <c r="C231" s="2">
        <v>6</v>
      </c>
      <c r="D231" t="s">
        <v>580</v>
      </c>
      <c r="E231" s="68">
        <v>266</v>
      </c>
      <c r="F231" s="84">
        <v>2.9881528462283313E-4</v>
      </c>
      <c r="G231" s="148">
        <v>3601.48046875</v>
      </c>
      <c r="H231" s="84"/>
      <c r="I231" s="83">
        <v>0.22561028599739075</v>
      </c>
      <c r="J231" s="85">
        <v>700</v>
      </c>
      <c r="K231" s="68"/>
    </row>
    <row r="232" spans="1:11" x14ac:dyDescent="0.2">
      <c r="A232" s="2">
        <v>39</v>
      </c>
      <c r="B232" s="2">
        <v>3</v>
      </c>
      <c r="C232" s="2">
        <v>6</v>
      </c>
      <c r="D232" t="s">
        <v>581</v>
      </c>
      <c r="E232" s="68">
        <v>281.39999389648438</v>
      </c>
      <c r="F232" s="84">
        <v>3.1611512531526387E-4</v>
      </c>
      <c r="G232" s="148">
        <v>2225.125244140625</v>
      </c>
      <c r="H232" s="84"/>
      <c r="I232" s="83">
        <v>0.16763053834438324</v>
      </c>
      <c r="J232" s="85">
        <v>670</v>
      </c>
      <c r="K232" s="68"/>
    </row>
    <row r="233" spans="1:11" x14ac:dyDescent="0.2">
      <c r="A233" s="2">
        <v>40</v>
      </c>
      <c r="B233" s="2">
        <v>3</v>
      </c>
      <c r="C233" s="2">
        <v>6</v>
      </c>
      <c r="D233" t="s">
        <v>582</v>
      </c>
      <c r="E233" s="68">
        <v>580</v>
      </c>
      <c r="F233" s="84">
        <v>6.5155216725543141E-4</v>
      </c>
      <c r="G233" s="148">
        <v>11740.361328125</v>
      </c>
      <c r="H233" s="84"/>
      <c r="I233" s="83">
        <v>0.18681542575359344</v>
      </c>
      <c r="J233" s="85">
        <v>580</v>
      </c>
      <c r="K233" s="68"/>
    </row>
    <row r="234" spans="1:11" x14ac:dyDescent="0.2">
      <c r="A234" s="2">
        <v>41</v>
      </c>
      <c r="B234" s="2">
        <v>1</v>
      </c>
      <c r="C234" s="2">
        <v>7</v>
      </c>
      <c r="D234" t="s">
        <v>584</v>
      </c>
      <c r="E234" s="68">
        <v>330.19998168945313</v>
      </c>
      <c r="F234" s="84">
        <v>3.7093536229804158E-4</v>
      </c>
      <c r="G234" s="148">
        <v>8722.5625</v>
      </c>
      <c r="H234" s="84"/>
      <c r="I234" s="83">
        <v>0.2828427255153656</v>
      </c>
      <c r="J234" s="85">
        <v>254</v>
      </c>
      <c r="K234" s="68"/>
    </row>
    <row r="235" spans="1:11" x14ac:dyDescent="0.2">
      <c r="A235" s="2">
        <v>42</v>
      </c>
      <c r="B235" s="2">
        <v>3</v>
      </c>
      <c r="C235" s="2">
        <v>7</v>
      </c>
      <c r="D235" t="s">
        <v>585</v>
      </c>
      <c r="E235" s="68">
        <v>11448</v>
      </c>
      <c r="F235" s="84">
        <v>1.2860291637480259E-2</v>
      </c>
      <c r="G235" s="148">
        <v>2214858.25</v>
      </c>
      <c r="H235" s="84"/>
      <c r="I235" s="83">
        <v>0.12999999523162842</v>
      </c>
      <c r="J235" s="85">
        <v>2120</v>
      </c>
      <c r="K235" s="68"/>
    </row>
    <row r="236" spans="1:11" x14ac:dyDescent="0.2">
      <c r="A236" s="2">
        <v>43</v>
      </c>
      <c r="B236" s="2">
        <v>1</v>
      </c>
      <c r="C236" s="2">
        <v>8</v>
      </c>
      <c r="D236" t="s">
        <v>586</v>
      </c>
      <c r="E236" s="68">
        <v>19294</v>
      </c>
      <c r="F236" s="84">
        <v>2.1674219518899918E-2</v>
      </c>
      <c r="G236" s="148">
        <v>2361607.5</v>
      </c>
      <c r="H236" s="84"/>
      <c r="I236" s="83">
        <v>7.964923232793808E-2</v>
      </c>
      <c r="J236" s="85">
        <v>22</v>
      </c>
      <c r="K236" s="68"/>
    </row>
    <row r="237" spans="1:11" x14ac:dyDescent="0.2">
      <c r="A237" s="2">
        <v>44</v>
      </c>
      <c r="B237" s="2">
        <v>1</v>
      </c>
      <c r="C237" s="2">
        <v>8</v>
      </c>
      <c r="D237" t="s">
        <v>587</v>
      </c>
      <c r="E237" s="68">
        <v>1218</v>
      </c>
      <c r="F237" s="84">
        <v>1.3682595454156399E-3</v>
      </c>
      <c r="G237" s="148">
        <v>118681.9296875</v>
      </c>
      <c r="H237" s="84"/>
      <c r="I237" s="83">
        <v>0.2828427255153656</v>
      </c>
      <c r="J237" s="85">
        <v>21</v>
      </c>
      <c r="K237" s="68"/>
    </row>
    <row r="238" spans="1:11" x14ac:dyDescent="0.2">
      <c r="A238" s="2">
        <v>45</v>
      </c>
      <c r="B238" s="2">
        <v>3</v>
      </c>
      <c r="C238" s="2">
        <v>8</v>
      </c>
      <c r="D238" t="s">
        <v>588</v>
      </c>
      <c r="E238" s="68">
        <v>20010</v>
      </c>
      <c r="F238" s="84">
        <v>2.2478548809885979E-2</v>
      </c>
      <c r="G238" s="148">
        <v>10010003</v>
      </c>
      <c r="H238" s="84"/>
      <c r="I238" s="83">
        <v>0.15811388194561005</v>
      </c>
      <c r="J238" s="85">
        <v>1740</v>
      </c>
      <c r="K238" s="68"/>
    </row>
    <row r="239" spans="1:11" x14ac:dyDescent="0.2">
      <c r="A239" s="2">
        <v>46</v>
      </c>
      <c r="B239" s="2">
        <v>3</v>
      </c>
      <c r="C239" s="2">
        <v>8</v>
      </c>
      <c r="D239" t="s">
        <v>589</v>
      </c>
      <c r="E239" s="68">
        <v>291.60000610351563</v>
      </c>
      <c r="F239" s="84">
        <v>3.2757347798906267E-4</v>
      </c>
      <c r="G239" s="148">
        <v>3613.799072265625</v>
      </c>
      <c r="H239" s="84"/>
      <c r="I239" s="83">
        <v>0.20615528523921967</v>
      </c>
      <c r="J239" s="85">
        <v>1620</v>
      </c>
      <c r="K239" s="68"/>
    </row>
    <row r="240" spans="1:11" x14ac:dyDescent="0.2">
      <c r="A240" s="2">
        <v>47</v>
      </c>
      <c r="B240" s="2">
        <v>1</v>
      </c>
      <c r="C240" s="2">
        <v>9</v>
      </c>
      <c r="D240" t="s">
        <v>590</v>
      </c>
      <c r="E240" s="68">
        <v>1215</v>
      </c>
      <c r="F240" s="84">
        <v>1.3648894382640719E-3</v>
      </c>
      <c r="G240" s="148">
        <v>70222.546875</v>
      </c>
      <c r="H240" s="84"/>
      <c r="I240" s="83">
        <v>0.21810318529605865</v>
      </c>
      <c r="J240" s="85">
        <v>81</v>
      </c>
      <c r="K240" s="68"/>
    </row>
    <row r="241" spans="1:11" x14ac:dyDescent="0.2">
      <c r="A241" s="2">
        <v>48</v>
      </c>
      <c r="B241" s="2">
        <v>1</v>
      </c>
      <c r="C241" s="2">
        <v>9</v>
      </c>
      <c r="D241" t="s">
        <v>591</v>
      </c>
      <c r="E241" s="68">
        <v>2520</v>
      </c>
      <c r="F241" s="84">
        <v>2.8308818582445383E-3</v>
      </c>
      <c r="G241" s="148">
        <v>300983.5625</v>
      </c>
      <c r="H241" s="84"/>
      <c r="I241" s="83">
        <v>0.21770621836185455</v>
      </c>
      <c r="J241" s="85">
        <v>63</v>
      </c>
      <c r="K241" s="68"/>
    </row>
    <row r="242" spans="1:11" x14ac:dyDescent="0.2">
      <c r="A242" s="2">
        <v>49</v>
      </c>
      <c r="B242" s="2">
        <v>1</v>
      </c>
      <c r="C242" s="2">
        <v>9</v>
      </c>
      <c r="D242" t="s">
        <v>592</v>
      </c>
      <c r="E242" s="68">
        <v>46959</v>
      </c>
      <c r="F242" s="84">
        <v>5.2752133458852768E-2</v>
      </c>
      <c r="G242" s="148">
        <v>19275198</v>
      </c>
      <c r="H242" s="84"/>
      <c r="I242" s="83">
        <v>9.3493320047855377E-2</v>
      </c>
      <c r="J242" s="85">
        <v>33</v>
      </c>
      <c r="K242" s="68"/>
    </row>
    <row r="243" spans="1:11" x14ac:dyDescent="0.2">
      <c r="A243" s="2">
        <v>50</v>
      </c>
      <c r="B243" s="2">
        <v>1</v>
      </c>
      <c r="C243" s="2">
        <v>9</v>
      </c>
      <c r="D243" t="s">
        <v>593</v>
      </c>
      <c r="E243" s="68">
        <v>1190</v>
      </c>
      <c r="F243" s="84">
        <v>1.3368052896112204E-3</v>
      </c>
      <c r="G243" s="148">
        <v>113288</v>
      </c>
      <c r="H243" s="84"/>
      <c r="I243" s="83">
        <v>0.2828427255153656</v>
      </c>
      <c r="J243" s="85">
        <v>35</v>
      </c>
      <c r="K243" s="68"/>
    </row>
    <row r="244" spans="1:11" x14ac:dyDescent="0.2">
      <c r="A244" s="2">
        <v>51</v>
      </c>
      <c r="B244" s="2">
        <v>1</v>
      </c>
      <c r="C244" s="2">
        <v>10</v>
      </c>
      <c r="D244" t="s">
        <v>594</v>
      </c>
      <c r="E244" s="68">
        <v>1118</v>
      </c>
      <c r="F244" s="84">
        <v>1.2559229508042336E-3</v>
      </c>
      <c r="G244" s="148">
        <v>15129.0791015625</v>
      </c>
      <c r="H244" s="84"/>
      <c r="I244" s="83">
        <v>0.11001817882061005</v>
      </c>
      <c r="J244" s="85">
        <v>86</v>
      </c>
      <c r="K244" s="68"/>
    </row>
    <row r="245" spans="1:11" x14ac:dyDescent="0.2">
      <c r="A245" s="2">
        <v>52</v>
      </c>
      <c r="B245" s="2">
        <v>1</v>
      </c>
      <c r="C245" s="2">
        <v>10</v>
      </c>
      <c r="D245" t="s">
        <v>595</v>
      </c>
      <c r="E245" s="68">
        <v>3320</v>
      </c>
      <c r="F245" s="84">
        <v>3.7295743823051453E-3</v>
      </c>
      <c r="G245" s="148">
        <v>881792</v>
      </c>
      <c r="H245" s="84"/>
      <c r="I245" s="83">
        <v>0.2828427255153656</v>
      </c>
      <c r="J245" s="85">
        <v>83</v>
      </c>
      <c r="K245" s="68"/>
    </row>
    <row r="246" spans="1:11" x14ac:dyDescent="0.2">
      <c r="A246" s="2">
        <v>53</v>
      </c>
      <c r="B246" s="2">
        <v>1</v>
      </c>
      <c r="C246" s="2">
        <v>11</v>
      </c>
      <c r="D246" t="s">
        <v>598</v>
      </c>
      <c r="E246" s="68">
        <v>5265</v>
      </c>
      <c r="F246" s="84">
        <v>5.914520937949419E-3</v>
      </c>
      <c r="G246" s="148">
        <v>1402892.875</v>
      </c>
      <c r="H246" s="84"/>
      <c r="I246" s="83">
        <v>0.224964439868927</v>
      </c>
      <c r="J246" s="85">
        <v>135</v>
      </c>
      <c r="K246" s="68"/>
    </row>
    <row r="247" spans="1:11" x14ac:dyDescent="0.2">
      <c r="A247" s="2">
        <v>54</v>
      </c>
      <c r="B247" s="2">
        <v>1</v>
      </c>
      <c r="C247" s="2">
        <v>11</v>
      </c>
      <c r="D247" t="s">
        <v>599</v>
      </c>
      <c r="E247" s="68">
        <v>3808</v>
      </c>
      <c r="F247" s="84">
        <v>4.2777769267559052E-3</v>
      </c>
      <c r="G247" s="148">
        <v>860205.75</v>
      </c>
      <c r="H247" s="84"/>
      <c r="I247" s="83">
        <v>0.24355903267860413</v>
      </c>
      <c r="J247" s="85">
        <v>238</v>
      </c>
      <c r="K247" s="68"/>
    </row>
    <row r="248" spans="1:11" x14ac:dyDescent="0.2">
      <c r="A248" s="2">
        <v>55</v>
      </c>
      <c r="B248" s="2">
        <v>1</v>
      </c>
      <c r="C248" s="2">
        <v>11</v>
      </c>
      <c r="D248" t="s">
        <v>600</v>
      </c>
      <c r="E248" s="68">
        <v>434</v>
      </c>
      <c r="F248" s="84">
        <v>4.8754076124168932E-4</v>
      </c>
      <c r="G248" s="148">
        <v>15068.48046875</v>
      </c>
      <c r="H248" s="84"/>
      <c r="I248" s="83">
        <v>0.2828427255153656</v>
      </c>
      <c r="J248" s="85">
        <v>155</v>
      </c>
      <c r="K248" s="68"/>
    </row>
    <row r="249" spans="1:11" x14ac:dyDescent="0.2">
      <c r="A249" s="2">
        <v>56</v>
      </c>
      <c r="B249" s="2">
        <v>3</v>
      </c>
      <c r="C249" s="2">
        <v>11</v>
      </c>
      <c r="D249" t="s">
        <v>601</v>
      </c>
      <c r="E249" s="68">
        <v>783</v>
      </c>
      <c r="F249" s="84">
        <v>8.7959540542215109E-4</v>
      </c>
      <c r="G249" s="148">
        <v>13549.2666015625</v>
      </c>
      <c r="H249" s="84"/>
      <c r="I249" s="83">
        <v>0.14866068959236145</v>
      </c>
      <c r="J249" s="85">
        <v>270</v>
      </c>
      <c r="K249" s="68"/>
    </row>
    <row r="250" spans="1:11" x14ac:dyDescent="0.2">
      <c r="A250" s="2">
        <v>57</v>
      </c>
      <c r="B250" s="2">
        <v>3</v>
      </c>
      <c r="C250" s="2">
        <v>11</v>
      </c>
      <c r="D250" t="s">
        <v>602</v>
      </c>
      <c r="E250" s="68">
        <v>3.3999998569488525</v>
      </c>
      <c r="F250" s="84">
        <v>3.819443463726202E-6</v>
      </c>
      <c r="G250" s="148">
        <v>0.9352039098739624</v>
      </c>
      <c r="H250" s="84"/>
      <c r="I250" s="83">
        <v>0.28442925214767456</v>
      </c>
      <c r="J250" s="85">
        <v>170</v>
      </c>
      <c r="K250" s="68"/>
    </row>
    <row r="251" spans="1:11" x14ac:dyDescent="0.2">
      <c r="A251" s="2">
        <v>58</v>
      </c>
      <c r="B251" s="2">
        <v>1</v>
      </c>
      <c r="C251" s="2">
        <v>12</v>
      </c>
      <c r="D251" t="s">
        <v>604</v>
      </c>
      <c r="E251" s="68">
        <v>110448</v>
      </c>
      <c r="F251" s="84">
        <v>0.12407350540161133</v>
      </c>
      <c r="G251" s="148">
        <v>93735272</v>
      </c>
      <c r="H251" s="84"/>
      <c r="I251" s="83">
        <v>8.7658427655696869E-2</v>
      </c>
      <c r="J251" s="85">
        <v>72</v>
      </c>
      <c r="K251" s="68"/>
    </row>
    <row r="252" spans="1:11" x14ac:dyDescent="0.2">
      <c r="A252" s="2">
        <v>59</v>
      </c>
      <c r="B252" s="2">
        <v>1</v>
      </c>
      <c r="C252" s="2">
        <v>12</v>
      </c>
      <c r="D252" t="s">
        <v>605</v>
      </c>
      <c r="E252" s="68">
        <v>30005</v>
      </c>
      <c r="F252" s="84">
        <v>3.3706590533256531E-2</v>
      </c>
      <c r="G252" s="148">
        <v>67158792</v>
      </c>
      <c r="H252" s="84"/>
      <c r="I252" s="83">
        <v>0.27312269806861877</v>
      </c>
      <c r="J252" s="85">
        <v>353</v>
      </c>
      <c r="K252" s="68"/>
    </row>
    <row r="253" spans="1:11" x14ac:dyDescent="0.2">
      <c r="A253" s="2">
        <v>60</v>
      </c>
      <c r="B253" s="2">
        <v>1</v>
      </c>
      <c r="C253" s="2">
        <v>12</v>
      </c>
      <c r="D253" t="s">
        <v>606</v>
      </c>
      <c r="E253" s="68">
        <v>60031</v>
      </c>
      <c r="F253" s="84">
        <v>6.7436769604682922E-2</v>
      </c>
      <c r="G253" s="148">
        <v>60902888</v>
      </c>
      <c r="H253" s="84"/>
      <c r="I253" s="83">
        <v>0.13000001013278961</v>
      </c>
      <c r="J253" s="85">
        <v>173</v>
      </c>
      <c r="K253" s="68"/>
    </row>
    <row r="254" spans="1:11" x14ac:dyDescent="0.2">
      <c r="A254" s="2">
        <v>61</v>
      </c>
      <c r="B254" s="2">
        <v>1</v>
      </c>
      <c r="C254" s="2">
        <v>12</v>
      </c>
      <c r="D254" t="s">
        <v>607</v>
      </c>
      <c r="E254" s="68">
        <v>4515</v>
      </c>
      <c r="F254" s="84">
        <v>5.0719967111945152E-3</v>
      </c>
      <c r="G254" s="148">
        <v>1630818</v>
      </c>
      <c r="H254" s="84"/>
      <c r="I254" s="83">
        <v>0.2828427255153656</v>
      </c>
      <c r="J254" s="85">
        <v>105</v>
      </c>
      <c r="K254" s="68"/>
    </row>
    <row r="255" spans="1:11" x14ac:dyDescent="0.2">
      <c r="A255" s="2">
        <v>62</v>
      </c>
      <c r="B255" s="2">
        <v>3</v>
      </c>
      <c r="C255" s="2">
        <v>12</v>
      </c>
      <c r="D255" t="s">
        <v>608</v>
      </c>
      <c r="E255" s="68">
        <v>2380</v>
      </c>
      <c r="F255" s="84">
        <v>2.6736105792224407E-3</v>
      </c>
      <c r="G255" s="148">
        <v>668965.625</v>
      </c>
      <c r="H255" s="84"/>
      <c r="I255" s="83">
        <v>0.34365680813789368</v>
      </c>
      <c r="J255" s="85">
        <v>2380</v>
      </c>
      <c r="K255" s="68"/>
    </row>
    <row r="256" spans="1:11" x14ac:dyDescent="0.2">
      <c r="A256" s="2">
        <v>63</v>
      </c>
      <c r="B256" s="2">
        <v>1</v>
      </c>
      <c r="C256" s="2">
        <v>13</v>
      </c>
      <c r="D256" t="s">
        <v>609</v>
      </c>
      <c r="E256" s="68">
        <v>4144</v>
      </c>
      <c r="F256" s="84">
        <v>4.6552279964089394E-3</v>
      </c>
      <c r="G256" s="148">
        <v>493613.125</v>
      </c>
      <c r="H256" s="84"/>
      <c r="I256" s="83">
        <v>0.16954055428504944</v>
      </c>
      <c r="J256" s="85">
        <v>74</v>
      </c>
      <c r="K256" s="68"/>
    </row>
    <row r="257" spans="1:11" x14ac:dyDescent="0.2">
      <c r="A257" s="2">
        <v>64</v>
      </c>
      <c r="B257" s="2">
        <v>1</v>
      </c>
      <c r="C257" s="2">
        <v>13</v>
      </c>
      <c r="D257" t="s">
        <v>610</v>
      </c>
      <c r="E257" s="68">
        <v>19032</v>
      </c>
      <c r="F257" s="84">
        <v>2.1379897370934486E-2</v>
      </c>
      <c r="G257" s="148">
        <v>9495883</v>
      </c>
      <c r="H257" s="84"/>
      <c r="I257" s="83">
        <v>0.16191357374191284</v>
      </c>
      <c r="J257" s="85">
        <v>52</v>
      </c>
      <c r="K257" s="68"/>
    </row>
    <row r="258" spans="1:11" x14ac:dyDescent="0.2">
      <c r="A258" s="2">
        <v>65</v>
      </c>
      <c r="B258" s="2">
        <v>1</v>
      </c>
      <c r="C258" s="2">
        <v>13</v>
      </c>
      <c r="D258" t="s">
        <v>611</v>
      </c>
      <c r="E258" s="68">
        <v>1700</v>
      </c>
      <c r="F258" s="84">
        <v>1.9097218755632639E-3</v>
      </c>
      <c r="G258" s="148">
        <v>231200</v>
      </c>
      <c r="H258" s="84"/>
      <c r="I258" s="83">
        <v>0.2828427255153656</v>
      </c>
      <c r="J258" s="85">
        <v>50</v>
      </c>
      <c r="K258" s="68"/>
    </row>
    <row r="259" spans="1:11" x14ac:dyDescent="0.2">
      <c r="A259" s="2">
        <v>66</v>
      </c>
      <c r="B259" s="2">
        <v>3</v>
      </c>
      <c r="C259" s="2">
        <v>13</v>
      </c>
      <c r="D259" t="s">
        <v>612</v>
      </c>
      <c r="E259" s="68">
        <v>4525.2001953125</v>
      </c>
      <c r="F259" s="84">
        <v>5.0834552384912968E-3</v>
      </c>
      <c r="G259" s="148">
        <v>1656624.625</v>
      </c>
      <c r="H259" s="84"/>
      <c r="I259" s="83">
        <v>0.28442925214767456</v>
      </c>
      <c r="J259" s="85">
        <v>83800</v>
      </c>
      <c r="K259" s="68"/>
    </row>
    <row r="260" spans="1:11" x14ac:dyDescent="0.2">
      <c r="A260" s="2">
        <v>67</v>
      </c>
      <c r="B260" s="2">
        <v>4</v>
      </c>
      <c r="C260" s="2">
        <v>13</v>
      </c>
      <c r="D260" t="s">
        <v>613</v>
      </c>
      <c r="E260" s="68">
        <v>178904.890625</v>
      </c>
      <c r="F260" s="84">
        <v>0.20097562670707703</v>
      </c>
      <c r="G260" s="148">
        <v>80017400</v>
      </c>
      <c r="H260" s="84"/>
      <c r="I260" s="83">
        <v>5.000000074505806E-2</v>
      </c>
      <c r="J260" s="85">
        <v>13.967123985290527</v>
      </c>
      <c r="K260" s="68"/>
    </row>
    <row r="261" spans="1:11" x14ac:dyDescent="0.2">
      <c r="A261" s="2">
        <v>69</v>
      </c>
      <c r="B261" s="2">
        <v>4</v>
      </c>
      <c r="C261" s="2">
        <v>2</v>
      </c>
      <c r="D261" t="s">
        <v>553</v>
      </c>
      <c r="E261" s="68">
        <v>865.4725341796875</v>
      </c>
      <c r="F261" s="84">
        <v>9.7224221099168062E-4</v>
      </c>
      <c r="G261" s="148">
        <v>1872.6068115234375</v>
      </c>
      <c r="H261" s="84"/>
      <c r="I261" s="83">
        <v>5.000000074505806E-2</v>
      </c>
      <c r="J261" s="85">
        <v>35.911724090576172</v>
      </c>
      <c r="K261" s="68"/>
    </row>
    <row r="262" spans="1:11" x14ac:dyDescent="0.2">
      <c r="A262" s="2">
        <v>70</v>
      </c>
      <c r="B262" s="2">
        <v>4</v>
      </c>
      <c r="C262" s="2">
        <v>3</v>
      </c>
      <c r="D262" t="s">
        <v>560</v>
      </c>
      <c r="E262" s="68">
        <v>14.228998184204102</v>
      </c>
      <c r="F262" s="84">
        <v>1.5984369383659214E-5</v>
      </c>
      <c r="G262" s="148">
        <v>0.50616097450256348</v>
      </c>
      <c r="H262" s="84"/>
      <c r="I262" s="83">
        <v>5.000000074505806E-2</v>
      </c>
      <c r="J262" s="85">
        <v>17.786247253417969</v>
      </c>
      <c r="K262" s="68"/>
    </row>
    <row r="263" spans="1:11" x14ac:dyDescent="0.2">
      <c r="A263" s="2">
        <v>71</v>
      </c>
      <c r="B263" s="2">
        <v>4</v>
      </c>
      <c r="C263" s="2">
        <v>6</v>
      </c>
      <c r="D263" t="s">
        <v>583</v>
      </c>
      <c r="E263" s="68">
        <v>199.26791381835938</v>
      </c>
      <c r="F263" s="84">
        <v>2.2385075862985104E-4</v>
      </c>
      <c r="G263" s="148">
        <v>99.269256591796875</v>
      </c>
      <c r="H263" s="84"/>
      <c r="I263" s="83">
        <v>5.000000074505806E-2</v>
      </c>
      <c r="J263" s="85">
        <v>17.327644348144531</v>
      </c>
      <c r="K263" s="68"/>
    </row>
    <row r="264" spans="1:11" x14ac:dyDescent="0.2">
      <c r="A264" s="2">
        <v>72</v>
      </c>
      <c r="B264" s="2">
        <v>4</v>
      </c>
      <c r="C264" s="2">
        <v>5</v>
      </c>
      <c r="D264" t="s">
        <v>577</v>
      </c>
      <c r="E264" s="68">
        <v>108.89157867431641</v>
      </c>
      <c r="F264" s="84">
        <v>1.2232507287990302E-4</v>
      </c>
      <c r="G264" s="148">
        <v>29.643440246582031</v>
      </c>
      <c r="H264" s="84"/>
      <c r="I264" s="83">
        <v>5.000000074505806E-2</v>
      </c>
      <c r="J264" s="85">
        <v>14.327839851379395</v>
      </c>
      <c r="K264" s="68"/>
    </row>
    <row r="265" spans="1:11" x14ac:dyDescent="0.2">
      <c r="A265" s="2">
        <v>73</v>
      </c>
      <c r="B265" s="2">
        <v>4</v>
      </c>
      <c r="C265" s="2">
        <v>10</v>
      </c>
      <c r="D265" t="s">
        <v>596</v>
      </c>
      <c r="E265" s="68">
        <v>15.085284233093262</v>
      </c>
      <c r="F265" s="84">
        <v>1.6946292817010544E-5</v>
      </c>
      <c r="G265" s="148">
        <v>0.56891453266143799</v>
      </c>
      <c r="H265" s="84"/>
      <c r="I265" s="83">
        <v>5.000000074505806E-2</v>
      </c>
      <c r="J265" s="85">
        <v>15.085284233093262</v>
      </c>
      <c r="K265" s="68"/>
    </row>
    <row r="266" spans="1:11" x14ac:dyDescent="0.2">
      <c r="A266" s="2">
        <v>74</v>
      </c>
      <c r="B266" s="2">
        <v>4</v>
      </c>
      <c r="C266" s="2">
        <v>10</v>
      </c>
      <c r="D266" t="s">
        <v>597</v>
      </c>
      <c r="E266" s="68">
        <v>16.593812942504883</v>
      </c>
      <c r="F266" s="84">
        <v>1.8640921553014778E-5</v>
      </c>
      <c r="G266" s="148">
        <v>0.68838661909103394</v>
      </c>
      <c r="H266" s="84"/>
      <c r="I266" s="83">
        <v>5.000000074505806E-2</v>
      </c>
      <c r="J266" s="85">
        <v>15.085284233093262</v>
      </c>
      <c r="K266" s="68"/>
    </row>
    <row r="267" spans="1:11" x14ac:dyDescent="0.2">
      <c r="A267" t="s">
        <v>457</v>
      </c>
      <c r="E267" s="68">
        <v>18983.509765625</v>
      </c>
      <c r="F267" s="84">
        <v>2.1325426176190376E-2</v>
      </c>
      <c r="G267" s="148">
        <v>0</v>
      </c>
      <c r="H267" s="84"/>
      <c r="I267" s="83">
        <v>0</v>
      </c>
      <c r="J267" s="85">
        <v>16.770832061767578</v>
      </c>
      <c r="K267" s="68">
        <v>16.100000381469727</v>
      </c>
    </row>
    <row r="268" spans="1:11" x14ac:dyDescent="0.2">
      <c r="A268" t="s">
        <v>603</v>
      </c>
      <c r="E268" s="68">
        <v>8678.33984375</v>
      </c>
      <c r="F268" s="84">
        <v>9.7489496693015099E-3</v>
      </c>
      <c r="G268" s="148">
        <v>0</v>
      </c>
      <c r="H268" s="84"/>
      <c r="I268" s="83">
        <v>0</v>
      </c>
      <c r="J268" s="85"/>
      <c r="K268" s="68"/>
    </row>
    <row r="269" spans="1:11" x14ac:dyDescent="0.2">
      <c r="A269" t="s">
        <v>458</v>
      </c>
      <c r="E269" s="68">
        <v>805959.75</v>
      </c>
      <c r="F269" s="84">
        <v>0.90538758039474487</v>
      </c>
      <c r="G269" s="148">
        <v>0</v>
      </c>
      <c r="H269" s="84"/>
      <c r="I269" s="83">
        <v>0</v>
      </c>
      <c r="J269" s="85">
        <v>67.498558044433594</v>
      </c>
      <c r="K269" s="68"/>
    </row>
    <row r="270" spans="1:11" x14ac:dyDescent="0.2">
      <c r="A270" t="s">
        <v>459</v>
      </c>
      <c r="E270" s="68">
        <v>56560.40234375</v>
      </c>
      <c r="F270" s="84">
        <v>6.3538022339344025E-2</v>
      </c>
      <c r="G270" s="148">
        <v>0</v>
      </c>
      <c r="H270" s="84"/>
      <c r="I270" s="83">
        <v>0</v>
      </c>
      <c r="J270" s="85">
        <v>1081.9986572265625</v>
      </c>
      <c r="K270" s="68"/>
    </row>
    <row r="271" spans="1:11" x14ac:dyDescent="0.2">
      <c r="A271" t="s">
        <v>460</v>
      </c>
      <c r="E271" s="68">
        <v>890182</v>
      </c>
      <c r="F271" s="84">
        <v>1</v>
      </c>
      <c r="G271" s="148">
        <v>0</v>
      </c>
      <c r="H271" s="84"/>
      <c r="I271" s="83">
        <v>0</v>
      </c>
      <c r="J271" s="85">
        <v>67.825408935546875</v>
      </c>
      <c r="K271" s="68">
        <v>754.96734619140625</v>
      </c>
    </row>
    <row r="272" spans="1:11" x14ac:dyDescent="0.2">
      <c r="A272" t="s">
        <v>461</v>
      </c>
      <c r="E272" s="68">
        <v>180124.421875</v>
      </c>
      <c r="F272" s="84">
        <v>0.20234560966491699</v>
      </c>
      <c r="G272" s="148">
        <v>0</v>
      </c>
      <c r="H272" s="84"/>
      <c r="I272" s="83">
        <v>0</v>
      </c>
      <c r="J272" s="85">
        <v>14.011904716491699</v>
      </c>
      <c r="K272" s="68"/>
    </row>
    <row r="273" spans="1:11" x14ac:dyDescent="0.2">
      <c r="A273" t="s">
        <v>462</v>
      </c>
      <c r="E273" s="68">
        <v>-1835.060546875</v>
      </c>
      <c r="F273" s="84"/>
      <c r="G273" s="148">
        <v>0</v>
      </c>
      <c r="H273" s="84"/>
      <c r="I273" s="83">
        <v>0</v>
      </c>
      <c r="J273" s="85">
        <v>13.967123985290527</v>
      </c>
      <c r="K273" s="68"/>
    </row>
    <row r="274" spans="1:11" x14ac:dyDescent="0.2">
      <c r="A274" t="s">
        <v>463</v>
      </c>
      <c r="E274" s="68">
        <v>178289.359375</v>
      </c>
      <c r="F274" s="84">
        <v>0.20028416812419891</v>
      </c>
      <c r="G274" s="148">
        <v>0</v>
      </c>
      <c r="H274" s="84"/>
      <c r="I274" s="83">
        <v>0</v>
      </c>
      <c r="J274" s="85">
        <v>14.012367248535156</v>
      </c>
      <c r="K274" s="68">
        <v>151.2080078125</v>
      </c>
    </row>
    <row r="275" spans="1:11" x14ac:dyDescent="0.2">
      <c r="A275" t="s">
        <v>544</v>
      </c>
      <c r="E275" s="68">
        <v>-5649.8779296875</v>
      </c>
      <c r="F275" s="84"/>
      <c r="G275" s="148">
        <v>0</v>
      </c>
      <c r="H275" s="84"/>
      <c r="I275" s="83">
        <v>0</v>
      </c>
      <c r="J275" s="85">
        <v>15.457054138183594</v>
      </c>
      <c r="K275" s="68"/>
    </row>
    <row r="276" spans="1:11" x14ac:dyDescent="0.2">
      <c r="A276" t="s">
        <v>465</v>
      </c>
      <c r="E276" s="68">
        <v>717542.5</v>
      </c>
      <c r="F276" s="84">
        <v>0.80606269836425781</v>
      </c>
      <c r="G276" s="148">
        <v>0</v>
      </c>
      <c r="H276" s="84"/>
      <c r="I276" s="83">
        <v>0</v>
      </c>
      <c r="J276" s="85"/>
      <c r="K276" s="68"/>
    </row>
    <row r="278" spans="1:11" x14ac:dyDescent="0.2">
      <c r="B278" t="s">
        <v>466</v>
      </c>
      <c r="E278" s="68">
        <v>10.481040000915527</v>
      </c>
      <c r="G278" t="s">
        <v>469</v>
      </c>
      <c r="J278" s="86">
        <v>0.44821760058403015</v>
      </c>
    </row>
    <row r="279" spans="1:11" x14ac:dyDescent="0.2">
      <c r="B279" t="s">
        <v>467</v>
      </c>
      <c r="E279" s="86">
        <v>2.0887477397918701</v>
      </c>
      <c r="G279" t="s">
        <v>470</v>
      </c>
      <c r="J279" s="68">
        <v>2.2310593128204346</v>
      </c>
    </row>
    <row r="280" spans="1:11" x14ac:dyDescent="0.2">
      <c r="B280" t="s">
        <v>468</v>
      </c>
      <c r="E280" s="85">
        <v>15.457054138183594</v>
      </c>
      <c r="G280" t="s">
        <v>471</v>
      </c>
      <c r="J280" s="149">
        <v>0.80606269836425781</v>
      </c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3DCB-31B5-4368-A99C-AA699FE277A1}">
  <sheetPr codeName="Sheet13"/>
  <dimension ref="A1:H640"/>
  <sheetViews>
    <sheetView showGridLines="0" workbookViewId="0"/>
  </sheetViews>
  <sheetFormatPr defaultRowHeight="12.75" x14ac:dyDescent="0.2"/>
  <cols>
    <col min="1" max="1" width="6.140625" customWidth="1"/>
    <col min="2" max="2" width="6.5703125" customWidth="1"/>
    <col min="3" max="3" width="22.28515625" customWidth="1"/>
    <col min="6" max="6" width="11.140625" bestFit="1" customWidth="1"/>
  </cols>
  <sheetData>
    <row r="1" spans="1:8" x14ac:dyDescent="0.2">
      <c r="A1" s="9" t="s">
        <v>522</v>
      </c>
      <c r="B1" s="9"/>
    </row>
    <row r="2" spans="1:8" x14ac:dyDescent="0.2">
      <c r="A2" s="9" t="s">
        <v>194</v>
      </c>
      <c r="B2" s="9" t="s">
        <v>523</v>
      </c>
    </row>
    <row r="4" spans="1:8" x14ac:dyDescent="0.2">
      <c r="A4" s="9" t="s">
        <v>28</v>
      </c>
      <c r="G4" s="9"/>
    </row>
    <row r="5" spans="1:8" x14ac:dyDescent="0.2">
      <c r="A5" s="9"/>
    </row>
    <row r="6" spans="1:8" x14ac:dyDescent="0.2">
      <c r="A6" s="9" t="s">
        <v>162</v>
      </c>
      <c r="B6" s="9"/>
      <c r="C6" s="9" t="s">
        <v>537</v>
      </c>
      <c r="D6" s="9"/>
      <c r="E6" s="89" t="s">
        <v>520</v>
      </c>
      <c r="F6" s="69">
        <v>1</v>
      </c>
      <c r="G6" s="9" t="s">
        <v>524</v>
      </c>
      <c r="H6" s="9"/>
    </row>
    <row r="7" spans="1:8" x14ac:dyDescent="0.2">
      <c r="A7" s="9"/>
      <c r="B7" s="9"/>
      <c r="C7" s="9"/>
      <c r="D7" s="71" t="s">
        <v>161</v>
      </c>
      <c r="E7" s="71" t="s">
        <v>161</v>
      </c>
      <c r="F7" s="71" t="s">
        <v>85</v>
      </c>
      <c r="G7" s="71" t="s">
        <v>85</v>
      </c>
      <c r="H7" s="71" t="s">
        <v>164</v>
      </c>
    </row>
    <row r="8" spans="1:8" ht="14.25" x14ac:dyDescent="0.2">
      <c r="A8" s="73" t="s">
        <v>86</v>
      </c>
      <c r="B8" s="73" t="s">
        <v>159</v>
      </c>
      <c r="C8" s="74" t="s">
        <v>160</v>
      </c>
      <c r="D8" s="76" t="s">
        <v>185</v>
      </c>
      <c r="E8" s="75" t="s">
        <v>193</v>
      </c>
      <c r="F8" s="75" t="s">
        <v>163</v>
      </c>
      <c r="G8" s="75" t="s">
        <v>193</v>
      </c>
      <c r="H8" s="76" t="s">
        <v>189</v>
      </c>
    </row>
    <row r="9" spans="1:8" x14ac:dyDescent="0.2">
      <c r="A9" s="2">
        <v>1</v>
      </c>
      <c r="B9" s="2">
        <v>1</v>
      </c>
      <c r="C9" t="s">
        <v>538</v>
      </c>
      <c r="D9" s="68">
        <v>19</v>
      </c>
      <c r="E9" s="84">
        <v>1.7346719279885292E-2</v>
      </c>
      <c r="F9" s="68">
        <v>15.199999809265137</v>
      </c>
      <c r="G9" s="84">
        <v>1.1973562650382519E-3</v>
      </c>
      <c r="H9" s="85">
        <v>0.80000001192092896</v>
      </c>
    </row>
    <row r="10" spans="1:8" x14ac:dyDescent="0.2">
      <c r="A10" s="2">
        <v>2</v>
      </c>
      <c r="B10" s="2">
        <v>1</v>
      </c>
      <c r="C10" t="s">
        <v>539</v>
      </c>
      <c r="D10" s="68">
        <v>621</v>
      </c>
      <c r="E10" s="84">
        <v>0.566963791847229</v>
      </c>
      <c r="F10" s="68">
        <v>7203.60009765625</v>
      </c>
      <c r="G10" s="84">
        <v>0.56745231151580811</v>
      </c>
      <c r="H10" s="85">
        <v>11.600000381469727</v>
      </c>
    </row>
    <row r="11" spans="1:8" x14ac:dyDescent="0.2">
      <c r="A11" s="2">
        <v>3</v>
      </c>
      <c r="B11" s="2">
        <v>1</v>
      </c>
      <c r="C11" t="s">
        <v>540</v>
      </c>
      <c r="D11" s="68">
        <v>371</v>
      </c>
      <c r="E11" s="84">
        <v>0.33871752023696899</v>
      </c>
      <c r="F11" s="68">
        <v>3895.5</v>
      </c>
      <c r="G11" s="84">
        <v>0.30686190724372864</v>
      </c>
      <c r="H11" s="85">
        <v>10.5</v>
      </c>
    </row>
    <row r="12" spans="1:8" x14ac:dyDescent="0.2">
      <c r="A12" s="2">
        <v>4</v>
      </c>
      <c r="B12" s="2">
        <v>1</v>
      </c>
      <c r="C12" t="s">
        <v>541</v>
      </c>
      <c r="D12" s="68">
        <v>16</v>
      </c>
      <c r="E12" s="84">
        <v>1.4607763849198818E-2</v>
      </c>
      <c r="F12" s="68">
        <v>177.60000610351563</v>
      </c>
      <c r="G12" s="84">
        <v>1.3990162871778011E-2</v>
      </c>
      <c r="H12" s="85">
        <v>11.100000381469727</v>
      </c>
    </row>
    <row r="13" spans="1:8" x14ac:dyDescent="0.2">
      <c r="A13" s="2">
        <v>5</v>
      </c>
      <c r="B13" s="2">
        <v>1</v>
      </c>
      <c r="C13" t="s">
        <v>542</v>
      </c>
      <c r="D13" s="68">
        <v>62</v>
      </c>
      <c r="E13" s="84">
        <v>5.6605082005262375E-2</v>
      </c>
      <c r="F13" s="68">
        <v>49.600002288818359</v>
      </c>
      <c r="G13" s="84">
        <v>3.9071626961231232E-3</v>
      </c>
      <c r="H13" s="85">
        <v>0.80000001192092896</v>
      </c>
    </row>
    <row r="14" spans="1:8" x14ac:dyDescent="0.2">
      <c r="A14" s="2">
        <v>6</v>
      </c>
      <c r="B14" s="2">
        <v>3</v>
      </c>
      <c r="C14" t="s">
        <v>543</v>
      </c>
      <c r="D14" s="68">
        <v>0.74000000953674316</v>
      </c>
      <c r="E14" s="84">
        <v>6.7560904426500201E-4</v>
      </c>
      <c r="F14" s="68">
        <v>40.700000762939453</v>
      </c>
      <c r="G14" s="84">
        <v>3.2060788944363594E-3</v>
      </c>
      <c r="H14" s="85">
        <v>55</v>
      </c>
    </row>
    <row r="15" spans="1:8" x14ac:dyDescent="0.2">
      <c r="A15" t="s">
        <v>457</v>
      </c>
      <c r="D15" s="68">
        <v>5.5679998397827148</v>
      </c>
      <c r="E15" s="84">
        <v>5.0835013389587402E-3</v>
      </c>
      <c r="F15" s="68">
        <v>1.6008000373840332</v>
      </c>
      <c r="G15" s="84">
        <v>1.2610052363015711E-4</v>
      </c>
      <c r="H15" s="85">
        <v>0.28750002384185791</v>
      </c>
    </row>
    <row r="16" spans="1:8" x14ac:dyDescent="0.2">
      <c r="A16" t="s">
        <v>458</v>
      </c>
      <c r="D16" s="68">
        <v>1089</v>
      </c>
      <c r="E16" s="84">
        <v>0.99424088001251221</v>
      </c>
      <c r="F16" s="68">
        <v>11341.5</v>
      </c>
      <c r="G16" s="84">
        <v>0.89340895414352417</v>
      </c>
      <c r="H16" s="85">
        <v>10.414600372314453</v>
      </c>
    </row>
    <row r="17" spans="1:8" x14ac:dyDescent="0.2">
      <c r="A17" t="s">
        <v>459</v>
      </c>
      <c r="D17" s="68">
        <v>0.74000000953674316</v>
      </c>
      <c r="E17" s="84">
        <v>6.7560904426500201E-4</v>
      </c>
      <c r="F17" s="68">
        <v>40.700000762939453</v>
      </c>
      <c r="G17" s="84">
        <v>3.2060788944363594E-3</v>
      </c>
      <c r="H17" s="85">
        <v>55</v>
      </c>
    </row>
    <row r="18" spans="1:8" x14ac:dyDescent="0.2">
      <c r="A18" t="s">
        <v>480</v>
      </c>
      <c r="D18" s="68">
        <v>0</v>
      </c>
      <c r="E18" s="84">
        <v>0</v>
      </c>
      <c r="F18" s="68">
        <v>1310.833984375</v>
      </c>
      <c r="G18" s="84">
        <v>0.1032589003443718</v>
      </c>
    </row>
    <row r="19" spans="1:8" x14ac:dyDescent="0.2">
      <c r="A19" t="s">
        <v>460</v>
      </c>
      <c r="D19" s="68">
        <v>1095.3079833984375</v>
      </c>
      <c r="E19" s="84">
        <v>1</v>
      </c>
      <c r="F19" s="68">
        <v>12694.634765625</v>
      </c>
      <c r="G19" s="84">
        <v>1</v>
      </c>
      <c r="H19" s="85">
        <v>11.59001350402832</v>
      </c>
    </row>
    <row r="20" spans="1:8" x14ac:dyDescent="0.2">
      <c r="A20" t="s">
        <v>462</v>
      </c>
      <c r="D20" s="68">
        <v>1093.3359375</v>
      </c>
      <c r="E20" s="84">
        <v>0.99819952249526978</v>
      </c>
      <c r="F20" s="68">
        <v>12715.54296875</v>
      </c>
      <c r="G20" s="84">
        <v>1.0016469955444336</v>
      </c>
      <c r="H20" s="85">
        <v>11.63004207611084</v>
      </c>
    </row>
    <row r="21" spans="1:8" x14ac:dyDescent="0.2">
      <c r="A21" t="s">
        <v>463</v>
      </c>
      <c r="D21" s="68">
        <v>1093.3359375</v>
      </c>
      <c r="E21" s="84">
        <v>0.99819952249526978</v>
      </c>
      <c r="F21" s="68">
        <v>12715.54296875</v>
      </c>
      <c r="G21" s="84">
        <v>1.0016469955444336</v>
      </c>
      <c r="H21" s="85">
        <v>11.63004207611084</v>
      </c>
    </row>
    <row r="22" spans="1:8" x14ac:dyDescent="0.2">
      <c r="A22" t="s">
        <v>464</v>
      </c>
      <c r="D22" s="68">
        <v>3.7699999809265137</v>
      </c>
      <c r="E22" s="84">
        <v>3.4419542644172907E-3</v>
      </c>
      <c r="F22" s="68">
        <v>0</v>
      </c>
      <c r="G22" s="84">
        <v>0</v>
      </c>
    </row>
    <row r="23" spans="1:8" x14ac:dyDescent="0.2">
      <c r="A23" t="s">
        <v>544</v>
      </c>
      <c r="D23" s="68">
        <v>-1.7980000972747803</v>
      </c>
      <c r="E23" s="84">
        <v>-1.6415475402027369E-3</v>
      </c>
      <c r="F23" s="68">
        <v>-20.910816192626953</v>
      </c>
      <c r="G23" s="84">
        <v>-1.6472168499603868E-3</v>
      </c>
      <c r="H23" s="85">
        <v>11.63004207611084</v>
      </c>
    </row>
    <row r="24" spans="1:8" x14ac:dyDescent="0.2">
      <c r="A24" t="s">
        <v>465</v>
      </c>
      <c r="D24" s="68">
        <v>4.6014785766601563E-5</v>
      </c>
      <c r="E24" s="84">
        <v>4.2010817935533851E-8</v>
      </c>
      <c r="F24" s="68">
        <v>2.613067626953125E-3</v>
      </c>
      <c r="G24" s="84">
        <v>2.0584032256465434E-7</v>
      </c>
    </row>
    <row r="26" spans="1:8" x14ac:dyDescent="0.2">
      <c r="A26" t="s">
        <v>473</v>
      </c>
      <c r="D26" s="86">
        <v>7.4390452355146408E-3</v>
      </c>
      <c r="E26" t="s">
        <v>474</v>
      </c>
    </row>
    <row r="27" spans="1:8" x14ac:dyDescent="0.2">
      <c r="A27" t="s">
        <v>475</v>
      </c>
      <c r="D27" s="68">
        <v>188.19619750976563</v>
      </c>
      <c r="E27" t="s">
        <v>476</v>
      </c>
    </row>
    <row r="28" spans="1:8" x14ac:dyDescent="0.2">
      <c r="A28" t="s">
        <v>477</v>
      </c>
      <c r="D28" s="68">
        <v>1.3999999761581421</v>
      </c>
      <c r="E28" t="s">
        <v>478</v>
      </c>
    </row>
    <row r="30" spans="1:8" x14ac:dyDescent="0.2">
      <c r="A30" s="9" t="s">
        <v>162</v>
      </c>
      <c r="B30" s="9"/>
      <c r="C30" s="9" t="s">
        <v>274</v>
      </c>
      <c r="D30" s="9"/>
      <c r="E30" s="89" t="s">
        <v>520</v>
      </c>
      <c r="F30" s="69">
        <v>1</v>
      </c>
      <c r="G30" s="9" t="s">
        <v>524</v>
      </c>
      <c r="H30" s="9"/>
    </row>
    <row r="31" spans="1:8" x14ac:dyDescent="0.2">
      <c r="A31" s="9"/>
      <c r="B31" s="9"/>
      <c r="C31" s="9"/>
      <c r="D31" s="71" t="s">
        <v>161</v>
      </c>
      <c r="E31" s="71" t="s">
        <v>161</v>
      </c>
      <c r="F31" s="71" t="s">
        <v>85</v>
      </c>
      <c r="G31" s="71" t="s">
        <v>85</v>
      </c>
      <c r="H31" s="71" t="s">
        <v>164</v>
      </c>
    </row>
    <row r="32" spans="1:8" ht="14.25" x14ac:dyDescent="0.2">
      <c r="A32" s="73" t="s">
        <v>86</v>
      </c>
      <c r="B32" s="73" t="s">
        <v>159</v>
      </c>
      <c r="C32" s="74" t="s">
        <v>160</v>
      </c>
      <c r="D32" s="76" t="s">
        <v>185</v>
      </c>
      <c r="E32" s="75" t="s">
        <v>193</v>
      </c>
      <c r="F32" s="75" t="s">
        <v>163</v>
      </c>
      <c r="G32" s="75" t="s">
        <v>193</v>
      </c>
      <c r="H32" s="76" t="s">
        <v>189</v>
      </c>
    </row>
    <row r="33" spans="1:8" x14ac:dyDescent="0.2">
      <c r="A33" s="2">
        <v>1</v>
      </c>
      <c r="B33" s="2">
        <v>1</v>
      </c>
      <c r="C33" t="s">
        <v>538</v>
      </c>
      <c r="D33" s="68">
        <v>19</v>
      </c>
      <c r="E33" s="84">
        <v>1.7346719279885292E-2</v>
      </c>
      <c r="F33" s="68">
        <v>152</v>
      </c>
      <c r="G33" s="84">
        <v>1.8080648733302951E-3</v>
      </c>
      <c r="H33" s="85">
        <v>8</v>
      </c>
    </row>
    <row r="34" spans="1:8" x14ac:dyDescent="0.2">
      <c r="A34" s="2">
        <v>2</v>
      </c>
      <c r="B34" s="2">
        <v>1</v>
      </c>
      <c r="C34" t="s">
        <v>539</v>
      </c>
      <c r="D34" s="68">
        <v>621</v>
      </c>
      <c r="E34" s="84">
        <v>0.566963791847229</v>
      </c>
      <c r="F34" s="68">
        <v>49059</v>
      </c>
      <c r="G34" s="84">
        <v>0.58356481790542603</v>
      </c>
      <c r="H34" s="85">
        <v>79</v>
      </c>
    </row>
    <row r="35" spans="1:8" x14ac:dyDescent="0.2">
      <c r="A35" s="2">
        <v>3</v>
      </c>
      <c r="B35" s="2">
        <v>1</v>
      </c>
      <c r="C35" t="s">
        <v>540</v>
      </c>
      <c r="D35" s="68">
        <v>371</v>
      </c>
      <c r="E35" s="84">
        <v>0.33871752023696899</v>
      </c>
      <c r="F35" s="68">
        <v>32277</v>
      </c>
      <c r="G35" s="84">
        <v>0.383940190076828</v>
      </c>
      <c r="H35" s="85">
        <v>87</v>
      </c>
    </row>
    <row r="36" spans="1:8" x14ac:dyDescent="0.2">
      <c r="A36" s="2">
        <v>4</v>
      </c>
      <c r="B36" s="2">
        <v>1</v>
      </c>
      <c r="C36" t="s">
        <v>541</v>
      </c>
      <c r="D36" s="68">
        <v>16</v>
      </c>
      <c r="E36" s="84">
        <v>1.4607763849198818E-2</v>
      </c>
      <c r="F36" s="68">
        <v>1280</v>
      </c>
      <c r="G36" s="84">
        <v>1.5225809067487717E-2</v>
      </c>
      <c r="H36" s="85">
        <v>80</v>
      </c>
    </row>
    <row r="37" spans="1:8" x14ac:dyDescent="0.2">
      <c r="A37" s="2">
        <v>5</v>
      </c>
      <c r="B37" s="2">
        <v>1</v>
      </c>
      <c r="C37" t="s">
        <v>542</v>
      </c>
      <c r="D37" s="68">
        <v>62</v>
      </c>
      <c r="E37" s="84">
        <v>5.6605082005262375E-2</v>
      </c>
      <c r="F37" s="68">
        <v>496</v>
      </c>
      <c r="G37" s="84">
        <v>5.9000011533498764E-3</v>
      </c>
      <c r="H37" s="85">
        <v>8</v>
      </c>
    </row>
    <row r="38" spans="1:8" x14ac:dyDescent="0.2">
      <c r="A38" s="2">
        <v>6</v>
      </c>
      <c r="B38" s="2">
        <v>3</v>
      </c>
      <c r="C38" t="s">
        <v>543</v>
      </c>
      <c r="D38" s="68">
        <v>0.74000000953674316</v>
      </c>
      <c r="E38" s="84">
        <v>6.7560904426500201E-4</v>
      </c>
      <c r="F38" s="68">
        <v>710.4000244140625</v>
      </c>
      <c r="G38" s="84">
        <v>8.450324647128582E-3</v>
      </c>
      <c r="H38" s="85">
        <v>960</v>
      </c>
    </row>
    <row r="39" spans="1:8" x14ac:dyDescent="0.2">
      <c r="A39" t="s">
        <v>457</v>
      </c>
      <c r="D39" s="68">
        <v>5.5679998397827148</v>
      </c>
      <c r="E39" s="84">
        <v>5.0835013389587402E-3</v>
      </c>
      <c r="F39" s="68">
        <v>93.3800048828125</v>
      </c>
      <c r="G39" s="84">
        <v>1.1107703903689981E-3</v>
      </c>
      <c r="H39" s="85">
        <v>16.770833969116211</v>
      </c>
    </row>
    <row r="40" spans="1:8" x14ac:dyDescent="0.2">
      <c r="A40" t="s">
        <v>458</v>
      </c>
      <c r="D40" s="68">
        <v>1089</v>
      </c>
      <c r="E40" s="84">
        <v>0.99424088001251221</v>
      </c>
      <c r="F40" s="68">
        <v>83264</v>
      </c>
      <c r="G40" s="84">
        <v>0.99043887853622437</v>
      </c>
      <c r="H40" s="85">
        <v>76.459136962890625</v>
      </c>
    </row>
    <row r="41" spans="1:8" x14ac:dyDescent="0.2">
      <c r="A41" t="s">
        <v>459</v>
      </c>
      <c r="D41" s="68">
        <v>0.74000000953674316</v>
      </c>
      <c r="E41" s="84">
        <v>6.7560904426500201E-4</v>
      </c>
      <c r="F41" s="68">
        <v>710.4000244140625</v>
      </c>
      <c r="G41" s="84">
        <v>8.450324647128582E-3</v>
      </c>
      <c r="H41" s="85">
        <v>960</v>
      </c>
    </row>
    <row r="42" spans="1:8" x14ac:dyDescent="0.2">
      <c r="A42" t="s">
        <v>460</v>
      </c>
      <c r="D42" s="68">
        <v>1095.3079833984375</v>
      </c>
      <c r="E42" s="84">
        <v>1</v>
      </c>
      <c r="F42" s="68">
        <v>84067.78125</v>
      </c>
      <c r="G42" s="84">
        <v>1</v>
      </c>
      <c r="H42" s="85">
        <v>76.752639770507813</v>
      </c>
    </row>
    <row r="43" spans="1:8" x14ac:dyDescent="0.2">
      <c r="A43" t="s">
        <v>462</v>
      </c>
      <c r="D43" s="68">
        <v>1093.3359375</v>
      </c>
      <c r="E43" s="84">
        <v>0.99819952249526978</v>
      </c>
      <c r="F43" s="68">
        <v>64732.8359375</v>
      </c>
      <c r="G43" s="84">
        <v>0.7700076699256897</v>
      </c>
      <c r="H43" s="85">
        <v>59.206722259521484</v>
      </c>
    </row>
    <row r="44" spans="1:8" x14ac:dyDescent="0.2">
      <c r="A44" t="s">
        <v>472</v>
      </c>
      <c r="D44" s="68">
        <v>0</v>
      </c>
      <c r="E44" s="84">
        <v>0</v>
      </c>
      <c r="F44" s="68">
        <v>16594.9765625</v>
      </c>
      <c r="G44" s="84">
        <v>0.19739995896816254</v>
      </c>
    </row>
    <row r="45" spans="1:8" x14ac:dyDescent="0.2">
      <c r="A45" t="s">
        <v>463</v>
      </c>
      <c r="D45" s="68">
        <v>1093.3359375</v>
      </c>
      <c r="E45" s="84">
        <v>0.99819952249526978</v>
      </c>
      <c r="F45" s="68">
        <v>81327.8125</v>
      </c>
      <c r="G45" s="84">
        <v>0.96740764379501343</v>
      </c>
      <c r="H45" s="85">
        <v>74.385017395019531</v>
      </c>
    </row>
    <row r="46" spans="1:8" x14ac:dyDescent="0.2">
      <c r="A46" t="s">
        <v>464</v>
      </c>
      <c r="D46" s="68">
        <v>3.7699999809265137</v>
      </c>
      <c r="E46" s="84">
        <v>3.4419542644172907E-3</v>
      </c>
      <c r="F46" s="68">
        <v>0</v>
      </c>
      <c r="G46" s="84">
        <v>0</v>
      </c>
    </row>
    <row r="47" spans="1:8" x14ac:dyDescent="0.2">
      <c r="A47" t="s">
        <v>544</v>
      </c>
      <c r="D47" s="68">
        <v>-1.7980000972747803</v>
      </c>
      <c r="E47" s="84">
        <v>-1.6415475402027369E-3</v>
      </c>
      <c r="F47" s="68">
        <v>-106.45368957519531</v>
      </c>
      <c r="G47" s="84">
        <v>-1.2662840308621526E-3</v>
      </c>
      <c r="H47" s="85">
        <v>59.206722259521484</v>
      </c>
    </row>
    <row r="48" spans="1:8" x14ac:dyDescent="0.2">
      <c r="A48" t="s">
        <v>465</v>
      </c>
      <c r="D48" s="68">
        <v>4.6014785766601563E-5</v>
      </c>
      <c r="E48" s="84">
        <v>4.2010817935533851E-8</v>
      </c>
      <c r="F48" s="68">
        <v>2846.42236328125</v>
      </c>
      <c r="G48" s="84">
        <v>3.3858660608530045E-2</v>
      </c>
    </row>
    <row r="50" spans="1:8" x14ac:dyDescent="0.2">
      <c r="A50" t="s">
        <v>473</v>
      </c>
      <c r="D50" s="86">
        <v>7.4390452355146408E-3</v>
      </c>
      <c r="E50" t="s">
        <v>474</v>
      </c>
    </row>
    <row r="51" spans="1:8" x14ac:dyDescent="0.2">
      <c r="A51" t="s">
        <v>475</v>
      </c>
      <c r="D51" s="68">
        <v>188.19619750976563</v>
      </c>
      <c r="E51" t="s">
        <v>476</v>
      </c>
    </row>
    <row r="52" spans="1:8" x14ac:dyDescent="0.2">
      <c r="A52" t="s">
        <v>477</v>
      </c>
      <c r="D52" s="68">
        <v>1.3999999761581421</v>
      </c>
      <c r="E52" t="s">
        <v>478</v>
      </c>
    </row>
    <row r="54" spans="1:8" x14ac:dyDescent="0.2">
      <c r="A54" s="9" t="s">
        <v>162</v>
      </c>
      <c r="B54" s="9"/>
      <c r="C54" s="9" t="s">
        <v>537</v>
      </c>
      <c r="D54" s="9"/>
      <c r="E54" s="89" t="s">
        <v>520</v>
      </c>
      <c r="F54" s="69">
        <v>2</v>
      </c>
      <c r="G54" s="9" t="s">
        <v>525</v>
      </c>
      <c r="H54" s="9"/>
    </row>
    <row r="55" spans="1:8" x14ac:dyDescent="0.2">
      <c r="A55" s="9"/>
      <c r="B55" s="9"/>
      <c r="C55" s="9"/>
      <c r="D55" s="71" t="s">
        <v>161</v>
      </c>
      <c r="E55" s="71" t="s">
        <v>161</v>
      </c>
      <c r="F55" s="71" t="s">
        <v>85</v>
      </c>
      <c r="G55" s="71" t="s">
        <v>85</v>
      </c>
      <c r="H55" s="71" t="s">
        <v>164</v>
      </c>
    </row>
    <row r="56" spans="1:8" ht="14.25" x14ac:dyDescent="0.2">
      <c r="A56" s="73" t="s">
        <v>86</v>
      </c>
      <c r="B56" s="73" t="s">
        <v>159</v>
      </c>
      <c r="C56" s="74" t="s">
        <v>160</v>
      </c>
      <c r="D56" s="76" t="s">
        <v>185</v>
      </c>
      <c r="E56" s="75" t="s">
        <v>193</v>
      </c>
      <c r="F56" s="75" t="s">
        <v>163</v>
      </c>
      <c r="G56" s="75" t="s">
        <v>193</v>
      </c>
      <c r="H56" s="76" t="s">
        <v>189</v>
      </c>
    </row>
    <row r="57" spans="1:8" x14ac:dyDescent="0.2">
      <c r="A57" s="2">
        <v>7</v>
      </c>
      <c r="B57" s="2">
        <v>1</v>
      </c>
      <c r="C57" t="s">
        <v>545</v>
      </c>
      <c r="D57" s="68">
        <v>14</v>
      </c>
      <c r="E57" s="84">
        <v>7.9990671947598457E-3</v>
      </c>
      <c r="F57" s="68">
        <v>102.20000457763672</v>
      </c>
      <c r="G57" s="84">
        <v>3.7307313177734613E-3</v>
      </c>
      <c r="H57" s="85">
        <v>7.3000001907348633</v>
      </c>
    </row>
    <row r="58" spans="1:8" x14ac:dyDescent="0.2">
      <c r="A58" s="2">
        <v>8</v>
      </c>
      <c r="B58" s="2">
        <v>1</v>
      </c>
      <c r="C58" t="s">
        <v>546</v>
      </c>
      <c r="D58" s="68">
        <v>35</v>
      </c>
      <c r="E58" s="84">
        <v>1.9997669383883476E-2</v>
      </c>
      <c r="F58" s="68">
        <v>322</v>
      </c>
      <c r="G58" s="84">
        <v>1.1754358187317848E-2</v>
      </c>
      <c r="H58" s="85">
        <v>9.1999998092651367</v>
      </c>
    </row>
    <row r="59" spans="1:8" x14ac:dyDescent="0.2">
      <c r="A59" s="2">
        <v>9</v>
      </c>
      <c r="B59" s="2">
        <v>1</v>
      </c>
      <c r="C59" t="s">
        <v>547</v>
      </c>
      <c r="D59" s="68">
        <v>365</v>
      </c>
      <c r="E59" s="84">
        <v>0.20854711532592773</v>
      </c>
      <c r="F59" s="68">
        <v>3065.999755859375</v>
      </c>
      <c r="G59" s="84">
        <v>0.11192192882299423</v>
      </c>
      <c r="H59" s="85">
        <v>8.3999996185302734</v>
      </c>
    </row>
    <row r="60" spans="1:8" x14ac:dyDescent="0.2">
      <c r="A60" s="2">
        <v>10</v>
      </c>
      <c r="B60" s="2">
        <v>1</v>
      </c>
      <c r="C60" t="s">
        <v>548</v>
      </c>
      <c r="D60" s="68">
        <v>95</v>
      </c>
      <c r="E60" s="84">
        <v>5.42793869972229E-2</v>
      </c>
      <c r="F60" s="68">
        <v>522.5</v>
      </c>
      <c r="G60" s="84">
        <v>1.9073454663157463E-2</v>
      </c>
      <c r="H60" s="85">
        <v>5.5</v>
      </c>
    </row>
    <row r="61" spans="1:8" x14ac:dyDescent="0.2">
      <c r="A61" s="2">
        <v>11</v>
      </c>
      <c r="B61" s="2">
        <v>1</v>
      </c>
      <c r="C61" t="s">
        <v>549</v>
      </c>
      <c r="D61" s="68">
        <v>33</v>
      </c>
      <c r="E61" s="84">
        <v>1.885494589805603E-2</v>
      </c>
      <c r="F61" s="68">
        <v>300.30001831054688</v>
      </c>
      <c r="G61" s="84">
        <v>1.0962218046188354E-2</v>
      </c>
      <c r="H61" s="85">
        <v>9.1000003814697266</v>
      </c>
    </row>
    <row r="62" spans="1:8" x14ac:dyDescent="0.2">
      <c r="A62" s="2">
        <v>12</v>
      </c>
      <c r="B62" s="2">
        <v>1</v>
      </c>
      <c r="C62" t="s">
        <v>550</v>
      </c>
      <c r="D62" s="68">
        <v>48</v>
      </c>
      <c r="E62" s="84">
        <v>2.7425374835729599E-2</v>
      </c>
      <c r="F62" s="68">
        <v>268.79998779296875</v>
      </c>
      <c r="G62" s="84">
        <v>9.8123336210846901E-3</v>
      </c>
      <c r="H62" s="85">
        <v>5.5999999046325684</v>
      </c>
    </row>
    <row r="63" spans="1:8" x14ac:dyDescent="0.2">
      <c r="A63" s="2">
        <v>13</v>
      </c>
      <c r="B63" s="2">
        <v>3</v>
      </c>
      <c r="C63" t="s">
        <v>551</v>
      </c>
      <c r="D63" s="68">
        <v>1.2999999523162842</v>
      </c>
      <c r="E63" s="84">
        <v>7.4277055682614446E-4</v>
      </c>
      <c r="F63" s="68">
        <v>124.79999542236328</v>
      </c>
      <c r="G63" s="84">
        <v>4.5557264238595963E-3</v>
      </c>
      <c r="H63" s="85">
        <v>96</v>
      </c>
    </row>
    <row r="64" spans="1:8" x14ac:dyDescent="0.2">
      <c r="A64" s="2">
        <v>14</v>
      </c>
      <c r="B64" s="2">
        <v>3</v>
      </c>
      <c r="C64" t="s">
        <v>552</v>
      </c>
      <c r="D64" s="68">
        <v>24</v>
      </c>
      <c r="E64" s="84">
        <v>1.3712687417864799E-2</v>
      </c>
      <c r="F64" s="68">
        <v>9960</v>
      </c>
      <c r="G64" s="84">
        <v>0.36358201503753662</v>
      </c>
      <c r="H64" s="85">
        <v>415</v>
      </c>
    </row>
    <row r="65" spans="1:8" x14ac:dyDescent="0.2">
      <c r="A65" s="2">
        <v>69</v>
      </c>
      <c r="B65" s="2">
        <v>4</v>
      </c>
      <c r="C65" t="s">
        <v>553</v>
      </c>
      <c r="D65" s="68">
        <v>24.100000381469727</v>
      </c>
      <c r="E65" s="84">
        <v>1.3769824057817459E-2</v>
      </c>
      <c r="F65" s="68">
        <v>324.629638671875</v>
      </c>
      <c r="G65" s="84">
        <v>1.1850351467728615E-2</v>
      </c>
      <c r="H65" s="85">
        <v>13.470108985900879</v>
      </c>
    </row>
    <row r="66" spans="1:8" x14ac:dyDescent="0.2">
      <c r="A66" t="s">
        <v>457</v>
      </c>
      <c r="D66" s="68">
        <v>41.567996978759766</v>
      </c>
      <c r="E66" s="84">
        <v>2.3750372231006622E-2</v>
      </c>
      <c r="F66" s="68">
        <v>11.950799942016602</v>
      </c>
      <c r="G66" s="84">
        <v>4.3625463149510324E-4</v>
      </c>
      <c r="H66" s="85">
        <v>0.28750002384185791</v>
      </c>
    </row>
    <row r="67" spans="1:8" x14ac:dyDescent="0.2">
      <c r="A67" t="s">
        <v>458</v>
      </c>
      <c r="D67" s="68">
        <v>590</v>
      </c>
      <c r="E67" s="84">
        <v>0.33710357546806335</v>
      </c>
      <c r="F67" s="68">
        <v>4581.7998046875</v>
      </c>
      <c r="G67" s="84">
        <v>0.16725502908229828</v>
      </c>
      <c r="H67" s="85">
        <v>7.7657623291015625</v>
      </c>
    </row>
    <row r="68" spans="1:8" x14ac:dyDescent="0.2">
      <c r="A68" t="s">
        <v>459</v>
      </c>
      <c r="D68" s="68">
        <v>25.299999237060547</v>
      </c>
      <c r="E68" s="84">
        <v>1.4455457217991352E-2</v>
      </c>
      <c r="F68" s="68">
        <v>10084.7998046875</v>
      </c>
      <c r="G68" s="84">
        <v>0.36813774704933167</v>
      </c>
      <c r="H68" s="85">
        <v>398.60870361328125</v>
      </c>
    </row>
    <row r="69" spans="1:8" x14ac:dyDescent="0.2">
      <c r="A69" t="s">
        <v>479</v>
      </c>
      <c r="D69" s="68">
        <v>1093.3359375</v>
      </c>
      <c r="E69" s="84">
        <v>0.62469059228897095</v>
      </c>
      <c r="F69" s="68">
        <v>12715.54296875</v>
      </c>
      <c r="G69" s="84">
        <v>0.46417096257209778</v>
      </c>
      <c r="H69" s="85">
        <v>11.63004207611084</v>
      </c>
    </row>
    <row r="70" spans="1:8" x14ac:dyDescent="0.2">
      <c r="A70" t="s">
        <v>460</v>
      </c>
      <c r="D70" s="68">
        <v>1750.2039794921875</v>
      </c>
      <c r="E70" s="84">
        <v>1</v>
      </c>
      <c r="F70" s="68">
        <v>27394.09375</v>
      </c>
      <c r="G70" s="84">
        <v>1</v>
      </c>
      <c r="H70" s="85">
        <v>15.651943206787109</v>
      </c>
    </row>
    <row r="71" spans="1:8" x14ac:dyDescent="0.2">
      <c r="A71" t="s">
        <v>461</v>
      </c>
      <c r="D71" s="68">
        <v>24.100000381469727</v>
      </c>
      <c r="E71" s="84">
        <v>1.3769824057817459E-2</v>
      </c>
      <c r="F71" s="68">
        <v>324.629638671875</v>
      </c>
      <c r="G71" s="84">
        <v>1.1850351467728615E-2</v>
      </c>
      <c r="H71" s="85">
        <v>13.470108985900879</v>
      </c>
    </row>
    <row r="72" spans="1:8" x14ac:dyDescent="0.2">
      <c r="A72" t="s">
        <v>462</v>
      </c>
      <c r="D72" s="68">
        <v>1711.3819580078125</v>
      </c>
      <c r="E72" s="84">
        <v>0.97781854867935181</v>
      </c>
      <c r="F72" s="68">
        <v>23052.501953125</v>
      </c>
      <c r="G72" s="84">
        <v>0.84151357412338257</v>
      </c>
      <c r="H72" s="85">
        <v>13.470108985900879</v>
      </c>
    </row>
    <row r="73" spans="1:8" x14ac:dyDescent="0.2">
      <c r="A73" t="s">
        <v>472</v>
      </c>
      <c r="D73" s="68">
        <v>0</v>
      </c>
      <c r="E73" s="84">
        <v>0</v>
      </c>
      <c r="F73" s="68">
        <v>4197.76953125</v>
      </c>
      <c r="G73" s="84">
        <v>0.15323629975318909</v>
      </c>
    </row>
    <row r="74" spans="1:8" x14ac:dyDescent="0.2">
      <c r="A74" t="s">
        <v>463</v>
      </c>
      <c r="D74" s="68">
        <v>1735.48193359375</v>
      </c>
      <c r="E74" s="84">
        <v>0.99158835411071777</v>
      </c>
      <c r="F74" s="68">
        <v>27574.900390625</v>
      </c>
      <c r="G74" s="84">
        <v>1.0066002607345581</v>
      </c>
      <c r="H74" s="85">
        <v>15.888900756835938</v>
      </c>
    </row>
    <row r="75" spans="1:8" x14ac:dyDescent="0.2">
      <c r="A75" t="s">
        <v>464</v>
      </c>
      <c r="D75" s="68">
        <v>28.144998550415039</v>
      </c>
      <c r="E75" s="84">
        <v>1.6080981120467186E-2</v>
      </c>
      <c r="F75" s="68">
        <v>0</v>
      </c>
      <c r="G75" s="84">
        <v>0</v>
      </c>
    </row>
    <row r="76" spans="1:8" x14ac:dyDescent="0.2">
      <c r="A76" t="s">
        <v>544</v>
      </c>
      <c r="D76" s="68">
        <v>-13.423000335693359</v>
      </c>
      <c r="E76" s="84">
        <v>-7.669392041862011E-3</v>
      </c>
      <c r="F76" s="68">
        <v>-180.80928039550781</v>
      </c>
      <c r="G76" s="84">
        <v>-6.6003017127513885E-3</v>
      </c>
      <c r="H76" s="85">
        <v>13.470108985900879</v>
      </c>
    </row>
    <row r="77" spans="1:8" x14ac:dyDescent="0.2">
      <c r="A77" t="s">
        <v>465</v>
      </c>
      <c r="D77" s="68">
        <v>4.76837158203125E-5</v>
      </c>
      <c r="E77" s="84">
        <v>2.7244661637837453E-8</v>
      </c>
      <c r="F77" s="68">
        <v>2.6397705078125E-3</v>
      </c>
      <c r="G77" s="84">
        <v>9.636276132596322E-8</v>
      </c>
    </row>
    <row r="79" spans="1:8" x14ac:dyDescent="0.2">
      <c r="A79" t="s">
        <v>473</v>
      </c>
      <c r="D79" s="86">
        <v>7.2918534278869629E-2</v>
      </c>
      <c r="E79" t="s">
        <v>474</v>
      </c>
    </row>
    <row r="80" spans="1:8" x14ac:dyDescent="0.2">
      <c r="A80" t="s">
        <v>475</v>
      </c>
      <c r="D80" s="68">
        <v>39.770412445068359</v>
      </c>
      <c r="E80" t="s">
        <v>476</v>
      </c>
    </row>
    <row r="81" spans="1:8" x14ac:dyDescent="0.2">
      <c r="A81" t="s">
        <v>477</v>
      </c>
      <c r="D81" s="68">
        <v>2.9000000953674316</v>
      </c>
      <c r="E81" t="s">
        <v>478</v>
      </c>
    </row>
    <row r="83" spans="1:8" x14ac:dyDescent="0.2">
      <c r="A83" s="9" t="s">
        <v>162</v>
      </c>
      <c r="B83" s="9"/>
      <c r="C83" s="9" t="s">
        <v>274</v>
      </c>
      <c r="D83" s="9"/>
      <c r="E83" s="89" t="s">
        <v>520</v>
      </c>
      <c r="F83" s="69">
        <v>2</v>
      </c>
      <c r="G83" s="9" t="s">
        <v>525</v>
      </c>
      <c r="H83" s="9"/>
    </row>
    <row r="84" spans="1:8" x14ac:dyDescent="0.2">
      <c r="A84" s="9"/>
      <c r="B84" s="9"/>
      <c r="C84" s="9"/>
      <c r="D84" s="71" t="s">
        <v>161</v>
      </c>
      <c r="E84" s="71" t="s">
        <v>161</v>
      </c>
      <c r="F84" s="71" t="s">
        <v>85</v>
      </c>
      <c r="G84" s="71" t="s">
        <v>85</v>
      </c>
      <c r="H84" s="71" t="s">
        <v>164</v>
      </c>
    </row>
    <row r="85" spans="1:8" ht="14.25" x14ac:dyDescent="0.2">
      <c r="A85" s="73" t="s">
        <v>86</v>
      </c>
      <c r="B85" s="73" t="s">
        <v>159</v>
      </c>
      <c r="C85" s="74" t="s">
        <v>160</v>
      </c>
      <c r="D85" s="76" t="s">
        <v>185</v>
      </c>
      <c r="E85" s="75" t="s">
        <v>193</v>
      </c>
      <c r="F85" s="75" t="s">
        <v>163</v>
      </c>
      <c r="G85" s="75" t="s">
        <v>193</v>
      </c>
      <c r="H85" s="76" t="s">
        <v>189</v>
      </c>
    </row>
    <row r="86" spans="1:8" x14ac:dyDescent="0.2">
      <c r="A86" s="2">
        <v>7</v>
      </c>
      <c r="B86" s="2">
        <v>1</v>
      </c>
      <c r="C86" t="s">
        <v>545</v>
      </c>
      <c r="D86" s="68">
        <v>14</v>
      </c>
      <c r="E86" s="84">
        <v>7.9990671947598457E-3</v>
      </c>
      <c r="F86" s="68">
        <v>742</v>
      </c>
      <c r="G86" s="84">
        <v>8.8053485378623009E-3</v>
      </c>
      <c r="H86" s="85">
        <v>53</v>
      </c>
    </row>
    <row r="87" spans="1:8" x14ac:dyDescent="0.2">
      <c r="A87" s="2">
        <v>8</v>
      </c>
      <c r="B87" s="2">
        <v>1</v>
      </c>
      <c r="C87" t="s">
        <v>546</v>
      </c>
      <c r="D87" s="68">
        <v>35</v>
      </c>
      <c r="E87" s="84">
        <v>1.9997669383883476E-2</v>
      </c>
      <c r="F87" s="68">
        <v>1820</v>
      </c>
      <c r="G87" s="84">
        <v>2.1598024293780327E-2</v>
      </c>
      <c r="H87" s="85">
        <v>52</v>
      </c>
    </row>
    <row r="88" spans="1:8" x14ac:dyDescent="0.2">
      <c r="A88" s="2">
        <v>9</v>
      </c>
      <c r="B88" s="2">
        <v>1</v>
      </c>
      <c r="C88" t="s">
        <v>547</v>
      </c>
      <c r="D88" s="68">
        <v>365</v>
      </c>
      <c r="E88" s="84">
        <v>0.20854711532592773</v>
      </c>
      <c r="F88" s="68">
        <v>1460</v>
      </c>
      <c r="G88" s="84">
        <v>1.7325887456536293E-2</v>
      </c>
      <c r="H88" s="85">
        <v>4</v>
      </c>
    </row>
    <row r="89" spans="1:8" x14ac:dyDescent="0.2">
      <c r="A89" s="2">
        <v>10</v>
      </c>
      <c r="B89" s="2">
        <v>1</v>
      </c>
      <c r="C89" t="s">
        <v>548</v>
      </c>
      <c r="D89" s="68">
        <v>95</v>
      </c>
      <c r="E89" s="84">
        <v>5.42793869972229E-2</v>
      </c>
      <c r="F89" s="68">
        <v>2280</v>
      </c>
      <c r="G89" s="84">
        <v>2.7056865394115448E-2</v>
      </c>
      <c r="H89" s="85">
        <v>24</v>
      </c>
    </row>
    <row r="90" spans="1:8" x14ac:dyDescent="0.2">
      <c r="A90" s="2">
        <v>11</v>
      </c>
      <c r="B90" s="2">
        <v>1</v>
      </c>
      <c r="C90" t="s">
        <v>549</v>
      </c>
      <c r="D90" s="68">
        <v>33</v>
      </c>
      <c r="E90" s="84">
        <v>1.885494589805603E-2</v>
      </c>
      <c r="F90" s="68">
        <v>1815</v>
      </c>
      <c r="G90" s="84">
        <v>2.1538687869906425E-2</v>
      </c>
      <c r="H90" s="85">
        <v>55</v>
      </c>
    </row>
    <row r="91" spans="1:8" x14ac:dyDescent="0.2">
      <c r="A91" s="2">
        <v>12</v>
      </c>
      <c r="B91" s="2">
        <v>1</v>
      </c>
      <c r="C91" t="s">
        <v>550</v>
      </c>
      <c r="D91" s="68">
        <v>48</v>
      </c>
      <c r="E91" s="84">
        <v>2.7425374835729599E-2</v>
      </c>
      <c r="F91" s="68">
        <v>1104</v>
      </c>
      <c r="G91" s="84">
        <v>1.3101219199597836E-2</v>
      </c>
      <c r="H91" s="85">
        <v>23</v>
      </c>
    </row>
    <row r="92" spans="1:8" x14ac:dyDescent="0.2">
      <c r="A92" s="2">
        <v>13</v>
      </c>
      <c r="B92" s="2">
        <v>3</v>
      </c>
      <c r="C92" t="s">
        <v>551</v>
      </c>
      <c r="D92" s="68">
        <v>1.2999999523162842</v>
      </c>
      <c r="E92" s="84">
        <v>7.4277055682614446E-4</v>
      </c>
      <c r="F92" s="68">
        <v>1456</v>
      </c>
      <c r="G92" s="84">
        <v>1.7278419807553291E-2</v>
      </c>
      <c r="H92" s="85">
        <v>1120</v>
      </c>
    </row>
    <row r="93" spans="1:8" x14ac:dyDescent="0.2">
      <c r="A93" s="2">
        <v>14</v>
      </c>
      <c r="B93" s="2">
        <v>3</v>
      </c>
      <c r="C93" t="s">
        <v>552</v>
      </c>
      <c r="D93" s="68">
        <v>24</v>
      </c>
      <c r="E93" s="84">
        <v>1.3712687417864799E-2</v>
      </c>
      <c r="F93" s="68">
        <v>8160</v>
      </c>
      <c r="G93" s="84">
        <v>9.6835099160671234E-2</v>
      </c>
      <c r="H93" s="85">
        <v>340</v>
      </c>
    </row>
    <row r="94" spans="1:8" x14ac:dyDescent="0.2">
      <c r="A94" s="2">
        <v>69</v>
      </c>
      <c r="B94" s="2">
        <v>4</v>
      </c>
      <c r="C94" t="s">
        <v>553</v>
      </c>
      <c r="D94" s="68">
        <v>24.100000381469727</v>
      </c>
      <c r="E94" s="84">
        <v>1.3769824057817459E-2</v>
      </c>
      <c r="F94" s="68">
        <v>865.4725341796875</v>
      </c>
      <c r="G94" s="84">
        <v>1.0270602069795132E-2</v>
      </c>
      <c r="H94" s="85">
        <v>35.911724090576172</v>
      </c>
    </row>
    <row r="95" spans="1:8" x14ac:dyDescent="0.2">
      <c r="A95" t="s">
        <v>457</v>
      </c>
      <c r="D95" s="68">
        <v>41.567996978759766</v>
      </c>
      <c r="E95" s="84">
        <v>2.3750372231006622E-2</v>
      </c>
      <c r="F95" s="68">
        <v>697.1300048828125</v>
      </c>
      <c r="G95" s="84">
        <v>8.2728741690516472E-3</v>
      </c>
      <c r="H95" s="85">
        <v>16.770833969116211</v>
      </c>
    </row>
    <row r="96" spans="1:8" x14ac:dyDescent="0.2">
      <c r="A96" t="s">
        <v>458</v>
      </c>
      <c r="D96" s="68">
        <v>590</v>
      </c>
      <c r="E96" s="84">
        <v>0.33710357546806335</v>
      </c>
      <c r="F96" s="68">
        <v>9221</v>
      </c>
      <c r="G96" s="84">
        <v>0.10942602902650833</v>
      </c>
      <c r="H96" s="85">
        <v>15.628813743591309</v>
      </c>
    </row>
    <row r="97" spans="1:8" x14ac:dyDescent="0.2">
      <c r="A97" t="s">
        <v>459</v>
      </c>
      <c r="D97" s="68">
        <v>25.299999237060547</v>
      </c>
      <c r="E97" s="84">
        <v>1.4455457217991352E-2</v>
      </c>
      <c r="F97" s="68">
        <v>9616</v>
      </c>
      <c r="G97" s="84">
        <v>0.11411351710557938</v>
      </c>
      <c r="H97" s="85">
        <v>380.07907104492188</v>
      </c>
    </row>
    <row r="98" spans="1:8" x14ac:dyDescent="0.2">
      <c r="A98" t="s">
        <v>479</v>
      </c>
      <c r="D98" s="68">
        <v>1093.3359375</v>
      </c>
      <c r="E98" s="84">
        <v>0.62469059228897095</v>
      </c>
      <c r="F98" s="68">
        <v>64732.8359375</v>
      </c>
      <c r="G98" s="84">
        <v>0.76818752288818359</v>
      </c>
      <c r="H98" s="85">
        <v>59.206722259521484</v>
      </c>
    </row>
    <row r="99" spans="1:8" x14ac:dyDescent="0.2">
      <c r="A99" t="s">
        <v>460</v>
      </c>
      <c r="D99" s="68">
        <v>1750.2039794921875</v>
      </c>
      <c r="E99" s="84">
        <v>1</v>
      </c>
      <c r="F99" s="68">
        <v>84266.96875</v>
      </c>
      <c r="G99" s="84">
        <v>1</v>
      </c>
      <c r="H99" s="85">
        <v>48.146942138671875</v>
      </c>
    </row>
    <row r="100" spans="1:8" x14ac:dyDescent="0.2">
      <c r="A100" t="s">
        <v>461</v>
      </c>
      <c r="D100" s="68">
        <v>24.100000381469727</v>
      </c>
      <c r="E100" s="84">
        <v>1.3769824057817459E-2</v>
      </c>
      <c r="F100" s="68">
        <v>865.4725341796875</v>
      </c>
      <c r="G100" s="84">
        <v>1.0270602069795132E-2</v>
      </c>
      <c r="H100" s="85">
        <v>35.911724090576172</v>
      </c>
    </row>
    <row r="101" spans="1:8" x14ac:dyDescent="0.2">
      <c r="A101" t="s">
        <v>462</v>
      </c>
      <c r="D101" s="68">
        <v>1711.3819580078125</v>
      </c>
      <c r="E101" s="84">
        <v>0.97781854867935181</v>
      </c>
      <c r="F101" s="68">
        <v>61458.67578125</v>
      </c>
      <c r="G101" s="84">
        <v>0.72933292388916016</v>
      </c>
      <c r="H101" s="85">
        <v>35.911724090576172</v>
      </c>
    </row>
    <row r="102" spans="1:8" x14ac:dyDescent="0.2">
      <c r="A102" t="s">
        <v>472</v>
      </c>
      <c r="D102" s="68">
        <v>0</v>
      </c>
      <c r="E102" s="84">
        <v>0</v>
      </c>
      <c r="F102" s="68">
        <v>6230.6875</v>
      </c>
      <c r="G102" s="84">
        <v>7.393985241651535E-2</v>
      </c>
    </row>
    <row r="103" spans="1:8" x14ac:dyDescent="0.2">
      <c r="A103" t="s">
        <v>463</v>
      </c>
      <c r="D103" s="68">
        <v>1735.48193359375</v>
      </c>
      <c r="E103" s="84">
        <v>0.99158835411071777</v>
      </c>
      <c r="F103" s="68">
        <v>68554.8359375</v>
      </c>
      <c r="G103" s="84">
        <v>0.81354337930679321</v>
      </c>
      <c r="H103" s="85">
        <v>39.501899719238281</v>
      </c>
    </row>
    <row r="104" spans="1:8" x14ac:dyDescent="0.2">
      <c r="A104" t="s">
        <v>464</v>
      </c>
      <c r="D104" s="68">
        <v>28.144998550415039</v>
      </c>
      <c r="E104" s="84">
        <v>1.6080981120467186E-2</v>
      </c>
      <c r="F104" s="68">
        <v>0</v>
      </c>
      <c r="G104" s="84">
        <v>0</v>
      </c>
    </row>
    <row r="105" spans="1:8" x14ac:dyDescent="0.2">
      <c r="A105" t="s">
        <v>544</v>
      </c>
      <c r="D105" s="68">
        <v>-13.423000335693359</v>
      </c>
      <c r="E105" s="84">
        <v>-7.669392041862011E-3</v>
      </c>
      <c r="F105" s="68">
        <v>-482.0430908203125</v>
      </c>
      <c r="G105" s="84">
        <v>-5.7204277254641056E-3</v>
      </c>
      <c r="H105" s="85">
        <v>35.911724090576172</v>
      </c>
    </row>
    <row r="106" spans="1:8" x14ac:dyDescent="0.2">
      <c r="A106" t="s">
        <v>465</v>
      </c>
      <c r="D106" s="68">
        <v>4.76837158203125E-5</v>
      </c>
      <c r="E106" s="84">
        <v>2.7244661637837453E-8</v>
      </c>
      <c r="F106" s="68">
        <v>16194.17578125</v>
      </c>
      <c r="G106" s="84">
        <v>0.19217702746391296</v>
      </c>
    </row>
    <row r="108" spans="1:8" x14ac:dyDescent="0.2">
      <c r="A108" t="s">
        <v>473</v>
      </c>
      <c r="D108" s="86">
        <v>7.2918534278869629E-2</v>
      </c>
      <c r="E108" t="s">
        <v>474</v>
      </c>
    </row>
    <row r="109" spans="1:8" x14ac:dyDescent="0.2">
      <c r="A109" t="s">
        <v>475</v>
      </c>
      <c r="D109" s="68">
        <v>39.770412445068359</v>
      </c>
      <c r="E109" t="s">
        <v>476</v>
      </c>
    </row>
    <row r="110" spans="1:8" x14ac:dyDescent="0.2">
      <c r="A110" t="s">
        <v>477</v>
      </c>
      <c r="D110" s="68">
        <v>2.9000000953674316</v>
      </c>
      <c r="E110" t="s">
        <v>478</v>
      </c>
    </row>
    <row r="112" spans="1:8" x14ac:dyDescent="0.2">
      <c r="A112" s="9" t="s">
        <v>162</v>
      </c>
      <c r="B112" s="9"/>
      <c r="C112" s="9" t="s">
        <v>537</v>
      </c>
      <c r="D112" s="9"/>
      <c r="E112" s="89" t="s">
        <v>520</v>
      </c>
      <c r="F112" s="69">
        <v>3</v>
      </c>
      <c r="G112" s="9" t="s">
        <v>526</v>
      </c>
      <c r="H112" s="9"/>
    </row>
    <row r="113" spans="1:8" x14ac:dyDescent="0.2">
      <c r="A113" s="9"/>
      <c r="B113" s="9"/>
      <c r="C113" s="9"/>
      <c r="D113" s="71" t="s">
        <v>161</v>
      </c>
      <c r="E113" s="71" t="s">
        <v>161</v>
      </c>
      <c r="F113" s="71" t="s">
        <v>85</v>
      </c>
      <c r="G113" s="71" t="s">
        <v>85</v>
      </c>
      <c r="H113" s="71" t="s">
        <v>164</v>
      </c>
    </row>
    <row r="114" spans="1:8" ht="14.25" x14ac:dyDescent="0.2">
      <c r="A114" s="73" t="s">
        <v>86</v>
      </c>
      <c r="B114" s="73" t="s">
        <v>159</v>
      </c>
      <c r="C114" s="74" t="s">
        <v>160</v>
      </c>
      <c r="D114" s="76" t="s">
        <v>185</v>
      </c>
      <c r="E114" s="75" t="s">
        <v>193</v>
      </c>
      <c r="F114" s="75" t="s">
        <v>163</v>
      </c>
      <c r="G114" s="75" t="s">
        <v>193</v>
      </c>
      <c r="H114" s="76" t="s">
        <v>189</v>
      </c>
    </row>
    <row r="115" spans="1:8" x14ac:dyDescent="0.2">
      <c r="A115" s="2">
        <v>15</v>
      </c>
      <c r="B115" s="2">
        <v>1</v>
      </c>
      <c r="C115" t="s">
        <v>554</v>
      </c>
      <c r="D115" s="68">
        <v>37</v>
      </c>
      <c r="E115" s="84">
        <v>1.936272531747818E-2</v>
      </c>
      <c r="F115" s="68">
        <v>358.89999389648438</v>
      </c>
      <c r="G115" s="84">
        <v>1.4748251065611839E-2</v>
      </c>
      <c r="H115" s="85">
        <v>9.6999998092651367</v>
      </c>
    </row>
    <row r="116" spans="1:8" x14ac:dyDescent="0.2">
      <c r="A116" s="2">
        <v>16</v>
      </c>
      <c r="B116" s="2">
        <v>1</v>
      </c>
      <c r="C116" t="s">
        <v>555</v>
      </c>
      <c r="D116" s="68">
        <v>13</v>
      </c>
      <c r="E116" s="84">
        <v>6.8031200207769871E-3</v>
      </c>
      <c r="F116" s="68">
        <v>123.5</v>
      </c>
      <c r="G116" s="84">
        <v>5.0749764777719975E-3</v>
      </c>
      <c r="H116" s="85">
        <v>9.5</v>
      </c>
    </row>
    <row r="117" spans="1:8" x14ac:dyDescent="0.2">
      <c r="A117" s="2">
        <v>17</v>
      </c>
      <c r="B117" s="2">
        <v>1</v>
      </c>
      <c r="C117" t="s">
        <v>556</v>
      </c>
      <c r="D117" s="68">
        <v>10</v>
      </c>
      <c r="E117" s="84">
        <v>5.2331690676510334E-3</v>
      </c>
      <c r="F117" s="68">
        <v>91</v>
      </c>
      <c r="G117" s="84">
        <v>3.7394564133137465E-3</v>
      </c>
      <c r="H117" s="85">
        <v>9.1000003814697266</v>
      </c>
    </row>
    <row r="118" spans="1:8" x14ac:dyDescent="0.2">
      <c r="A118" s="2">
        <v>18</v>
      </c>
      <c r="B118" s="2">
        <v>1</v>
      </c>
      <c r="C118" t="s">
        <v>557</v>
      </c>
      <c r="D118" s="68">
        <v>66</v>
      </c>
      <c r="E118" s="84">
        <v>3.4538917243480682E-2</v>
      </c>
      <c r="F118" s="68">
        <v>633.60003662109375</v>
      </c>
      <c r="G118" s="84">
        <v>2.6036480441689491E-2</v>
      </c>
      <c r="H118" s="85">
        <v>9.6000003814697266</v>
      </c>
    </row>
    <row r="119" spans="1:8" x14ac:dyDescent="0.2">
      <c r="A119" s="2">
        <v>19</v>
      </c>
      <c r="B119" s="2">
        <v>3</v>
      </c>
      <c r="C119" t="s">
        <v>558</v>
      </c>
      <c r="D119" s="68">
        <v>0.81000000238418579</v>
      </c>
      <c r="E119" s="84">
        <v>4.2388669680804014E-4</v>
      </c>
      <c r="F119" s="68">
        <v>45.360000610351563</v>
      </c>
      <c r="G119" s="84">
        <v>1.8639751942828298E-3</v>
      </c>
      <c r="H119" s="85">
        <v>56</v>
      </c>
    </row>
    <row r="120" spans="1:8" x14ac:dyDescent="0.2">
      <c r="A120" s="2">
        <v>20</v>
      </c>
      <c r="B120" s="2">
        <v>3</v>
      </c>
      <c r="C120" t="s">
        <v>559</v>
      </c>
      <c r="D120" s="68">
        <v>0.11999999731779099</v>
      </c>
      <c r="E120" s="84">
        <v>6.279802619246766E-5</v>
      </c>
      <c r="F120" s="68">
        <v>9.3599996566772461</v>
      </c>
      <c r="G120" s="84">
        <v>3.8462979136966169E-4</v>
      </c>
      <c r="H120" s="85">
        <v>78</v>
      </c>
    </row>
    <row r="121" spans="1:8" x14ac:dyDescent="0.2">
      <c r="A121" s="2">
        <v>70</v>
      </c>
      <c r="B121" s="2">
        <v>4</v>
      </c>
      <c r="C121" t="s">
        <v>560</v>
      </c>
      <c r="D121" s="68">
        <v>0.80000001192092896</v>
      </c>
      <c r="E121" s="84">
        <v>4.1865353705361485E-4</v>
      </c>
      <c r="F121" s="68">
        <v>8.942112922668457</v>
      </c>
      <c r="G121" s="84">
        <v>3.6745760007761419E-4</v>
      </c>
      <c r="H121" s="85">
        <v>11.177640914916992</v>
      </c>
    </row>
    <row r="122" spans="1:8" x14ac:dyDescent="0.2">
      <c r="A122" t="s">
        <v>457</v>
      </c>
      <c r="D122" s="68">
        <v>72.575996398925781</v>
      </c>
      <c r="E122" s="84">
        <v>3.7980247288942337E-2</v>
      </c>
      <c r="F122" s="68">
        <v>20.865598678588867</v>
      </c>
      <c r="G122" s="84">
        <v>8.5742853116244078E-4</v>
      </c>
      <c r="H122" s="85">
        <v>0.28749999403953552</v>
      </c>
    </row>
    <row r="123" spans="1:8" x14ac:dyDescent="0.2">
      <c r="A123" t="s">
        <v>458</v>
      </c>
      <c r="D123" s="68">
        <v>126</v>
      </c>
      <c r="E123" s="84">
        <v>6.5937928855419159E-2</v>
      </c>
      <c r="F123" s="68">
        <v>1207</v>
      </c>
      <c r="G123" s="84">
        <v>4.9599163234233856E-2</v>
      </c>
      <c r="H123" s="85">
        <v>9.5793647766113281</v>
      </c>
    </row>
    <row r="124" spans="1:8" x14ac:dyDescent="0.2">
      <c r="A124" t="s">
        <v>459</v>
      </c>
      <c r="D124" s="68">
        <v>0.93000000715255737</v>
      </c>
      <c r="E124" s="84">
        <v>4.8668473027646542E-4</v>
      </c>
      <c r="F124" s="68">
        <v>54.720001220703125</v>
      </c>
      <c r="G124" s="84">
        <v>2.2486050147563219E-3</v>
      </c>
      <c r="H124" s="85">
        <v>58.838710784912109</v>
      </c>
    </row>
    <row r="125" spans="1:8" x14ac:dyDescent="0.2">
      <c r="A125" t="s">
        <v>479</v>
      </c>
      <c r="D125" s="68">
        <v>1711.3819580078125</v>
      </c>
      <c r="E125" s="84">
        <v>0.89559513330459595</v>
      </c>
      <c r="F125" s="68">
        <v>23052.501953125</v>
      </c>
      <c r="G125" s="84">
        <v>0.94729477167129517</v>
      </c>
      <c r="H125" s="85">
        <v>13.470108985900879</v>
      </c>
    </row>
    <row r="126" spans="1:8" x14ac:dyDescent="0.2">
      <c r="A126" t="s">
        <v>460</v>
      </c>
      <c r="D126" s="68">
        <v>1910.887939453125</v>
      </c>
      <c r="E126" s="84">
        <v>1</v>
      </c>
      <c r="F126" s="68">
        <v>24335.087890625</v>
      </c>
      <c r="G126" s="84">
        <v>1</v>
      </c>
      <c r="H126" s="85">
        <v>12.734963417053223</v>
      </c>
    </row>
    <row r="127" spans="1:8" x14ac:dyDescent="0.2">
      <c r="A127" t="s">
        <v>461</v>
      </c>
      <c r="D127" s="68">
        <v>0.80000001192092896</v>
      </c>
      <c r="E127" s="84">
        <v>4.1865353705361485E-4</v>
      </c>
      <c r="F127" s="68">
        <v>8.942112922668457</v>
      </c>
      <c r="G127" s="84">
        <v>3.6745760007761419E-4</v>
      </c>
      <c r="H127" s="85">
        <v>11.177640914916992</v>
      </c>
    </row>
    <row r="128" spans="1:8" x14ac:dyDescent="0.2">
      <c r="A128" t="s">
        <v>462</v>
      </c>
      <c r="D128" s="68">
        <v>1884.3839111328125</v>
      </c>
      <c r="E128" s="84">
        <v>0.9861299991607666</v>
      </c>
      <c r="F128" s="68">
        <v>21062.966796875</v>
      </c>
      <c r="G128" s="84">
        <v>0.86553895473480225</v>
      </c>
      <c r="H128" s="85">
        <v>11.177640914916992</v>
      </c>
    </row>
    <row r="129" spans="1:8" x14ac:dyDescent="0.2">
      <c r="A129" t="s">
        <v>472</v>
      </c>
      <c r="D129" s="68">
        <v>0</v>
      </c>
      <c r="E129" s="84">
        <v>0</v>
      </c>
      <c r="F129" s="68">
        <v>3525.125</v>
      </c>
      <c r="G129" s="84">
        <v>0.14485770463943481</v>
      </c>
    </row>
    <row r="130" spans="1:8" x14ac:dyDescent="0.2">
      <c r="A130" t="s">
        <v>463</v>
      </c>
      <c r="D130" s="68">
        <v>1885.1839599609375</v>
      </c>
      <c r="E130" s="84">
        <v>0.98654866218566895</v>
      </c>
      <c r="F130" s="68">
        <v>24597.033203125</v>
      </c>
      <c r="G130" s="84">
        <v>1.0107641220092773</v>
      </c>
      <c r="H130" s="85">
        <v>13.047550201416016</v>
      </c>
    </row>
    <row r="131" spans="1:8" x14ac:dyDescent="0.2">
      <c r="A131" t="s">
        <v>464</v>
      </c>
      <c r="D131" s="68">
        <v>49.139995574951172</v>
      </c>
      <c r="E131" s="84">
        <v>2.5715790688991547E-2</v>
      </c>
      <c r="F131" s="68">
        <v>0</v>
      </c>
      <c r="G131" s="84">
        <v>0</v>
      </c>
    </row>
    <row r="132" spans="1:8" x14ac:dyDescent="0.2">
      <c r="A132" t="s">
        <v>544</v>
      </c>
      <c r="D132" s="68">
        <v>-23.435998916625977</v>
      </c>
      <c r="E132" s="84">
        <v>-1.2264454737305641E-2</v>
      </c>
      <c r="F132" s="68">
        <v>-261.95916748046875</v>
      </c>
      <c r="G132" s="84">
        <v>-1.0764668695628643E-2</v>
      </c>
      <c r="H132" s="85">
        <v>11.177639961242676</v>
      </c>
    </row>
    <row r="133" spans="1:8" x14ac:dyDescent="0.2">
      <c r="A133" t="s">
        <v>465</v>
      </c>
      <c r="D133" s="68">
        <v>-1.71661376953125E-5</v>
      </c>
      <c r="E133" s="84">
        <v>-8.9833305239039873E-9</v>
      </c>
      <c r="F133" s="68">
        <v>1.385498046875E-2</v>
      </c>
      <c r="G133" s="84">
        <v>5.6934169379019295E-7</v>
      </c>
    </row>
    <row r="135" spans="1:8" x14ac:dyDescent="0.2">
      <c r="A135" t="s">
        <v>473</v>
      </c>
      <c r="D135" s="86">
        <v>0.78777581453323364</v>
      </c>
      <c r="E135" t="s">
        <v>474</v>
      </c>
    </row>
    <row r="136" spans="1:8" x14ac:dyDescent="0.2">
      <c r="A136" t="s">
        <v>475</v>
      </c>
      <c r="D136" s="68">
        <v>24.62629508972168</v>
      </c>
      <c r="E136" t="s">
        <v>476</v>
      </c>
    </row>
    <row r="137" spans="1:8" x14ac:dyDescent="0.2">
      <c r="A137" t="s">
        <v>477</v>
      </c>
      <c r="D137" s="68">
        <v>19.399999618530273</v>
      </c>
      <c r="E137" t="s">
        <v>478</v>
      </c>
    </row>
    <row r="139" spans="1:8" x14ac:dyDescent="0.2">
      <c r="A139" s="9" t="s">
        <v>162</v>
      </c>
      <c r="B139" s="9"/>
      <c r="C139" s="9" t="s">
        <v>274</v>
      </c>
      <c r="D139" s="9"/>
      <c r="E139" s="89" t="s">
        <v>520</v>
      </c>
      <c r="F139" s="69">
        <v>3</v>
      </c>
      <c r="G139" s="9" t="s">
        <v>526</v>
      </c>
      <c r="H139" s="9"/>
    </row>
    <row r="140" spans="1:8" x14ac:dyDescent="0.2">
      <c r="A140" s="9"/>
      <c r="B140" s="9"/>
      <c r="C140" s="9"/>
      <c r="D140" s="71" t="s">
        <v>161</v>
      </c>
      <c r="E140" s="71" t="s">
        <v>161</v>
      </c>
      <c r="F140" s="71" t="s">
        <v>85</v>
      </c>
      <c r="G140" s="71" t="s">
        <v>85</v>
      </c>
      <c r="H140" s="71" t="s">
        <v>164</v>
      </c>
    </row>
    <row r="141" spans="1:8" ht="14.25" x14ac:dyDescent="0.2">
      <c r="A141" s="73" t="s">
        <v>86</v>
      </c>
      <c r="B141" s="73" t="s">
        <v>159</v>
      </c>
      <c r="C141" s="74" t="s">
        <v>160</v>
      </c>
      <c r="D141" s="76" t="s">
        <v>185</v>
      </c>
      <c r="E141" s="75" t="s">
        <v>193</v>
      </c>
      <c r="F141" s="75" t="s">
        <v>163</v>
      </c>
      <c r="G141" s="75" t="s">
        <v>193</v>
      </c>
      <c r="H141" s="76" t="s">
        <v>189</v>
      </c>
    </row>
    <row r="142" spans="1:8" x14ac:dyDescent="0.2">
      <c r="A142" s="2">
        <v>15</v>
      </c>
      <c r="B142" s="2">
        <v>1</v>
      </c>
      <c r="C142" t="s">
        <v>554</v>
      </c>
      <c r="D142" s="68">
        <v>37</v>
      </c>
      <c r="E142" s="84">
        <v>1.936272531747818E-2</v>
      </c>
      <c r="F142" s="68">
        <v>1295</v>
      </c>
      <c r="G142" s="84">
        <v>1.6287108883261681E-2</v>
      </c>
      <c r="H142" s="85">
        <v>35</v>
      </c>
    </row>
    <row r="143" spans="1:8" x14ac:dyDescent="0.2">
      <c r="A143" s="2">
        <v>16</v>
      </c>
      <c r="B143" s="2">
        <v>1</v>
      </c>
      <c r="C143" t="s">
        <v>555</v>
      </c>
      <c r="D143" s="68">
        <v>13</v>
      </c>
      <c r="E143" s="84">
        <v>6.8031200207769871E-3</v>
      </c>
      <c r="F143" s="68">
        <v>871</v>
      </c>
      <c r="G143" s="84">
        <v>1.0954495519399643E-2</v>
      </c>
      <c r="H143" s="85">
        <v>67</v>
      </c>
    </row>
    <row r="144" spans="1:8" x14ac:dyDescent="0.2">
      <c r="A144" s="2">
        <v>17</v>
      </c>
      <c r="B144" s="2">
        <v>1</v>
      </c>
      <c r="C144" t="s">
        <v>556</v>
      </c>
      <c r="D144" s="68">
        <v>10</v>
      </c>
      <c r="E144" s="84">
        <v>5.2331690676510334E-3</v>
      </c>
      <c r="F144" s="68">
        <v>550</v>
      </c>
      <c r="G144" s="84">
        <v>6.9173048250377178E-3</v>
      </c>
      <c r="H144" s="85">
        <v>55</v>
      </c>
    </row>
    <row r="145" spans="1:8" x14ac:dyDescent="0.2">
      <c r="A145" s="2">
        <v>18</v>
      </c>
      <c r="B145" s="2">
        <v>1</v>
      </c>
      <c r="C145" t="s">
        <v>557</v>
      </c>
      <c r="D145" s="68">
        <v>66</v>
      </c>
      <c r="E145" s="84">
        <v>3.4538917243480682E-2</v>
      </c>
      <c r="F145" s="68">
        <v>2838</v>
      </c>
      <c r="G145" s="84">
        <v>3.5693295300006866E-2</v>
      </c>
      <c r="H145" s="85">
        <v>43</v>
      </c>
    </row>
    <row r="146" spans="1:8" x14ac:dyDescent="0.2">
      <c r="A146" s="2">
        <v>19</v>
      </c>
      <c r="B146" s="2">
        <v>3</v>
      </c>
      <c r="C146" t="s">
        <v>558</v>
      </c>
      <c r="D146" s="68">
        <v>0.81000000238418579</v>
      </c>
      <c r="E146" s="84">
        <v>4.2388669680804014E-4</v>
      </c>
      <c r="F146" s="68">
        <v>1555.199951171875</v>
      </c>
      <c r="G146" s="84">
        <v>1.9559621810913086E-2</v>
      </c>
      <c r="H146" s="85">
        <v>1920</v>
      </c>
    </row>
    <row r="147" spans="1:8" x14ac:dyDescent="0.2">
      <c r="A147" s="2">
        <v>20</v>
      </c>
      <c r="B147" s="2">
        <v>3</v>
      </c>
      <c r="C147" t="s">
        <v>559</v>
      </c>
      <c r="D147" s="68">
        <v>0.11999999731779099</v>
      </c>
      <c r="E147" s="84">
        <v>6.279802619246766E-5</v>
      </c>
      <c r="F147" s="68">
        <v>217.19999694824219</v>
      </c>
      <c r="G147" s="84">
        <v>2.7317064814269543E-3</v>
      </c>
      <c r="H147" s="85">
        <v>1810</v>
      </c>
    </row>
    <row r="148" spans="1:8" x14ac:dyDescent="0.2">
      <c r="A148" s="2">
        <v>70</v>
      </c>
      <c r="B148" s="2">
        <v>4</v>
      </c>
      <c r="C148" t="s">
        <v>560</v>
      </c>
      <c r="D148" s="68">
        <v>0.80000001192092896</v>
      </c>
      <c r="E148" s="84">
        <v>4.1865353705361485E-4</v>
      </c>
      <c r="F148" s="68">
        <v>14.228998184204102</v>
      </c>
      <c r="G148" s="84">
        <v>1.7895695054903626E-4</v>
      </c>
      <c r="H148" s="85">
        <v>17.786247253417969</v>
      </c>
    </row>
    <row r="149" spans="1:8" x14ac:dyDescent="0.2">
      <c r="A149" t="s">
        <v>457</v>
      </c>
      <c r="D149" s="68">
        <v>72.575996398925781</v>
      </c>
      <c r="E149" s="84">
        <v>3.7980247288942337E-2</v>
      </c>
      <c r="F149" s="68">
        <v>1217.1600341796875</v>
      </c>
      <c r="G149" s="84">
        <v>1.5308122150599957E-2</v>
      </c>
      <c r="H149" s="85">
        <v>16.770833969116211</v>
      </c>
    </row>
    <row r="150" spans="1:8" x14ac:dyDescent="0.2">
      <c r="A150" t="s">
        <v>458</v>
      </c>
      <c r="D150" s="68">
        <v>126</v>
      </c>
      <c r="E150" s="84">
        <v>6.5937928855419159E-2</v>
      </c>
      <c r="F150" s="68">
        <v>5554</v>
      </c>
      <c r="G150" s="84">
        <v>6.9852203130722046E-2</v>
      </c>
      <c r="H150" s="85">
        <v>44.079364776611328</v>
      </c>
    </row>
    <row r="151" spans="1:8" x14ac:dyDescent="0.2">
      <c r="A151" t="s">
        <v>459</v>
      </c>
      <c r="D151" s="68">
        <v>0.93000000715255737</v>
      </c>
      <c r="E151" s="84">
        <v>4.8668473027646542E-4</v>
      </c>
      <c r="F151" s="68">
        <v>1772.39990234375</v>
      </c>
      <c r="G151" s="84">
        <v>2.2291328758001328E-2</v>
      </c>
      <c r="H151" s="85">
        <v>1905.8062744140625</v>
      </c>
    </row>
    <row r="152" spans="1:8" x14ac:dyDescent="0.2">
      <c r="A152" t="s">
        <v>479</v>
      </c>
      <c r="D152" s="68">
        <v>1711.3819580078125</v>
      </c>
      <c r="E152" s="84">
        <v>0.89559513330459595</v>
      </c>
      <c r="F152" s="68">
        <v>61458.67578125</v>
      </c>
      <c r="G152" s="84">
        <v>0.77296072244644165</v>
      </c>
      <c r="H152" s="85">
        <v>35.911724090576172</v>
      </c>
    </row>
    <row r="153" spans="1:8" x14ac:dyDescent="0.2">
      <c r="A153" t="s">
        <v>480</v>
      </c>
      <c r="D153" s="68">
        <v>0</v>
      </c>
      <c r="E153" s="84">
        <v>0</v>
      </c>
      <c r="F153" s="68">
        <v>9508.5</v>
      </c>
      <c r="G153" s="84">
        <v>0.11958763003349304</v>
      </c>
    </row>
    <row r="154" spans="1:8" x14ac:dyDescent="0.2">
      <c r="A154" t="s">
        <v>460</v>
      </c>
      <c r="D154" s="68">
        <v>1910.887939453125</v>
      </c>
      <c r="E154" s="84">
        <v>1</v>
      </c>
      <c r="F154" s="68">
        <v>79510.734375</v>
      </c>
      <c r="G154" s="84">
        <v>1</v>
      </c>
      <c r="H154" s="85">
        <v>41.60931396484375</v>
      </c>
    </row>
    <row r="155" spans="1:8" x14ac:dyDescent="0.2">
      <c r="A155" t="s">
        <v>461</v>
      </c>
      <c r="D155" s="68">
        <v>0.80000001192092896</v>
      </c>
      <c r="E155" s="84">
        <v>4.1865353705361485E-4</v>
      </c>
      <c r="F155" s="68">
        <v>14.228998184204102</v>
      </c>
      <c r="G155" s="84">
        <v>1.7895695054903626E-4</v>
      </c>
      <c r="H155" s="85">
        <v>17.786247253417969</v>
      </c>
    </row>
    <row r="156" spans="1:8" x14ac:dyDescent="0.2">
      <c r="A156" t="s">
        <v>462</v>
      </c>
      <c r="D156" s="68">
        <v>1884.3839111328125</v>
      </c>
      <c r="E156" s="84">
        <v>0.9861299991607666</v>
      </c>
      <c r="F156" s="68">
        <v>33516.1171875</v>
      </c>
      <c r="G156" s="84">
        <v>0.42152947187423706</v>
      </c>
      <c r="H156" s="85">
        <v>17.786247253417969</v>
      </c>
    </row>
    <row r="157" spans="1:8" x14ac:dyDescent="0.2">
      <c r="A157" t="s">
        <v>463</v>
      </c>
      <c r="D157" s="68">
        <v>1885.1839599609375</v>
      </c>
      <c r="E157" s="84">
        <v>0.98654866218566895</v>
      </c>
      <c r="F157" s="68">
        <v>33530.34765625</v>
      </c>
      <c r="G157" s="84">
        <v>0.42170843482017517</v>
      </c>
      <c r="H157" s="85">
        <v>17.786247253417969</v>
      </c>
    </row>
    <row r="158" spans="1:8" x14ac:dyDescent="0.2">
      <c r="A158" t="s">
        <v>464</v>
      </c>
      <c r="D158" s="68">
        <v>49.139995574951172</v>
      </c>
      <c r="E158" s="84">
        <v>2.5715790688991547E-2</v>
      </c>
      <c r="F158" s="68">
        <v>0</v>
      </c>
      <c r="G158" s="84">
        <v>0</v>
      </c>
    </row>
    <row r="159" spans="1:8" x14ac:dyDescent="0.2">
      <c r="A159" t="s">
        <v>544</v>
      </c>
      <c r="D159" s="68">
        <v>-23.435998916625977</v>
      </c>
      <c r="E159" s="84">
        <v>-1.2264454737305641E-2</v>
      </c>
      <c r="F159" s="68">
        <v>-416.83847045898438</v>
      </c>
      <c r="G159" s="84">
        <v>-5.2425432950258255E-3</v>
      </c>
      <c r="H159" s="85">
        <v>17.786247253417969</v>
      </c>
    </row>
    <row r="160" spans="1:8" x14ac:dyDescent="0.2">
      <c r="A160" t="s">
        <v>465</v>
      </c>
      <c r="D160" s="68">
        <v>-1.71661376953125E-5</v>
      </c>
      <c r="E160" s="84">
        <v>-8.9833305239039873E-9</v>
      </c>
      <c r="F160" s="68">
        <v>46397.2265625</v>
      </c>
      <c r="G160" s="84">
        <v>0.5835341215133667</v>
      </c>
    </row>
    <row r="162" spans="1:8" x14ac:dyDescent="0.2">
      <c r="A162" t="s">
        <v>473</v>
      </c>
      <c r="D162" s="86">
        <v>0.78777581453323364</v>
      </c>
      <c r="E162" t="s">
        <v>474</v>
      </c>
    </row>
    <row r="163" spans="1:8" x14ac:dyDescent="0.2">
      <c r="A163" t="s">
        <v>475</v>
      </c>
      <c r="D163" s="68">
        <v>24.62629508972168</v>
      </c>
      <c r="E163" t="s">
        <v>476</v>
      </c>
    </row>
    <row r="164" spans="1:8" x14ac:dyDescent="0.2">
      <c r="A164" t="s">
        <v>477</v>
      </c>
      <c r="D164" s="68">
        <v>19.399999618530273</v>
      </c>
      <c r="E164" t="s">
        <v>478</v>
      </c>
    </row>
    <row r="166" spans="1:8" x14ac:dyDescent="0.2">
      <c r="A166" s="9" t="s">
        <v>162</v>
      </c>
      <c r="B166" s="9"/>
      <c r="C166" s="9" t="s">
        <v>537</v>
      </c>
      <c r="D166" s="9"/>
      <c r="E166" s="89" t="s">
        <v>520</v>
      </c>
      <c r="F166" s="69">
        <v>4</v>
      </c>
      <c r="G166" s="9" t="s">
        <v>527</v>
      </c>
      <c r="H166" s="9"/>
    </row>
    <row r="167" spans="1:8" x14ac:dyDescent="0.2">
      <c r="A167" s="9"/>
      <c r="B167" s="9"/>
      <c r="C167" s="9"/>
      <c r="D167" s="71" t="s">
        <v>161</v>
      </c>
      <c r="E167" s="71" t="s">
        <v>161</v>
      </c>
      <c r="F167" s="71" t="s">
        <v>85</v>
      </c>
      <c r="G167" s="71" t="s">
        <v>85</v>
      </c>
      <c r="H167" s="71" t="s">
        <v>164</v>
      </c>
    </row>
    <row r="168" spans="1:8" ht="14.25" x14ac:dyDescent="0.2">
      <c r="A168" s="73" t="s">
        <v>86</v>
      </c>
      <c r="B168" s="73" t="s">
        <v>159</v>
      </c>
      <c r="C168" s="74" t="s">
        <v>160</v>
      </c>
      <c r="D168" s="76" t="s">
        <v>185</v>
      </c>
      <c r="E168" s="75" t="s">
        <v>193</v>
      </c>
      <c r="F168" s="75" t="s">
        <v>163</v>
      </c>
      <c r="G168" s="75" t="s">
        <v>193</v>
      </c>
      <c r="H168" s="76" t="s">
        <v>189</v>
      </c>
    </row>
    <row r="169" spans="1:8" x14ac:dyDescent="0.2">
      <c r="A169" s="2">
        <v>21</v>
      </c>
      <c r="B169" s="2">
        <v>1</v>
      </c>
      <c r="C169" t="s">
        <v>561</v>
      </c>
      <c r="D169" s="68">
        <v>1427</v>
      </c>
      <c r="E169" s="84">
        <v>0.40200647711753845</v>
      </c>
      <c r="F169" s="68">
        <v>13841.8994140625</v>
      </c>
      <c r="G169" s="84">
        <v>0.36568012833595276</v>
      </c>
      <c r="H169" s="85">
        <v>9.6999998092651367</v>
      </c>
    </row>
    <row r="170" spans="1:8" x14ac:dyDescent="0.2">
      <c r="A170" s="2">
        <v>22</v>
      </c>
      <c r="B170" s="2">
        <v>1</v>
      </c>
      <c r="C170" t="s">
        <v>562</v>
      </c>
      <c r="D170" s="68">
        <v>80</v>
      </c>
      <c r="E170" s="84">
        <v>2.2537153214216232E-2</v>
      </c>
      <c r="F170" s="68">
        <v>880</v>
      </c>
      <c r="G170" s="84">
        <v>2.324814535677433E-2</v>
      </c>
      <c r="H170" s="85">
        <v>11</v>
      </c>
    </row>
    <row r="171" spans="1:8" x14ac:dyDescent="0.2">
      <c r="A171" s="2">
        <v>23</v>
      </c>
      <c r="B171" s="2">
        <v>1</v>
      </c>
      <c r="C171" t="s">
        <v>563</v>
      </c>
      <c r="D171" s="68">
        <v>116</v>
      </c>
      <c r="E171" s="84">
        <v>3.2678872346878052E-2</v>
      </c>
      <c r="F171" s="68">
        <v>858.4000244140625</v>
      </c>
      <c r="G171" s="84">
        <v>2.2677510976791382E-2</v>
      </c>
      <c r="H171" s="85">
        <v>7.4000000953674316</v>
      </c>
    </row>
    <row r="172" spans="1:8" x14ac:dyDescent="0.2">
      <c r="A172" s="2">
        <v>24</v>
      </c>
      <c r="B172" s="2">
        <v>1</v>
      </c>
      <c r="C172" t="s">
        <v>564</v>
      </c>
      <c r="D172" s="68">
        <v>12</v>
      </c>
      <c r="E172" s="84">
        <v>3.3805728890001774E-3</v>
      </c>
      <c r="F172" s="68">
        <v>114</v>
      </c>
      <c r="G172" s="84">
        <v>3.0116916168481112E-3</v>
      </c>
      <c r="H172" s="85">
        <v>9.5</v>
      </c>
    </row>
    <row r="173" spans="1:8" x14ac:dyDescent="0.2">
      <c r="A173" s="2">
        <v>25</v>
      </c>
      <c r="B173" s="2">
        <v>1</v>
      </c>
      <c r="C173" t="s">
        <v>565</v>
      </c>
      <c r="D173" s="68">
        <v>2.2999999523162842</v>
      </c>
      <c r="E173" s="84">
        <v>6.4794311765581369E-4</v>
      </c>
      <c r="F173" s="68">
        <v>21.850000381469727</v>
      </c>
      <c r="G173" s="84">
        <v>5.7724089128896594E-4</v>
      </c>
      <c r="H173" s="85">
        <v>9.5</v>
      </c>
    </row>
    <row r="174" spans="1:8" x14ac:dyDescent="0.2">
      <c r="A174" s="2">
        <v>26</v>
      </c>
      <c r="B174" s="2">
        <v>3</v>
      </c>
      <c r="C174" t="s">
        <v>566</v>
      </c>
      <c r="D174" s="68">
        <v>0.64999997615814209</v>
      </c>
      <c r="E174" s="84">
        <v>1.8311435997020453E-4</v>
      </c>
      <c r="F174" s="68">
        <v>45.5</v>
      </c>
      <c r="G174" s="84">
        <v>1.2020348804071546E-3</v>
      </c>
      <c r="H174" s="85">
        <v>70</v>
      </c>
    </row>
    <row r="175" spans="1:8" x14ac:dyDescent="0.2">
      <c r="A175" t="s">
        <v>457</v>
      </c>
      <c r="D175" s="68">
        <v>27.35999870300293</v>
      </c>
      <c r="E175" s="84">
        <v>7.7077061869204044E-3</v>
      </c>
      <c r="F175" s="68">
        <v>7.865999698638916</v>
      </c>
      <c r="G175" s="84">
        <v>2.0780671911779791E-4</v>
      </c>
      <c r="H175" s="85">
        <v>0.28749999403953552</v>
      </c>
    </row>
    <row r="176" spans="1:8" x14ac:dyDescent="0.2">
      <c r="A176" t="s">
        <v>458</v>
      </c>
      <c r="D176" s="68">
        <v>1637.300048828125</v>
      </c>
      <c r="E176" s="84">
        <v>0.46125102043151855</v>
      </c>
      <c r="F176" s="68">
        <v>15716.1494140625</v>
      </c>
      <c r="G176" s="84">
        <v>0.41519469022750854</v>
      </c>
      <c r="H176" s="85">
        <v>9.598820686340332</v>
      </c>
    </row>
    <row r="177" spans="1:8" x14ac:dyDescent="0.2">
      <c r="A177" t="s">
        <v>459</v>
      </c>
      <c r="D177" s="68">
        <v>0.64999997615814209</v>
      </c>
      <c r="E177" s="84">
        <v>1.8311435997020453E-4</v>
      </c>
      <c r="F177" s="68">
        <v>45.5</v>
      </c>
      <c r="G177" s="84">
        <v>1.2020348804071546E-3</v>
      </c>
      <c r="H177" s="85">
        <v>70</v>
      </c>
    </row>
    <row r="178" spans="1:8" x14ac:dyDescent="0.2">
      <c r="A178" t="s">
        <v>479</v>
      </c>
      <c r="D178" s="68">
        <v>1884.3839111328125</v>
      </c>
      <c r="E178" s="84">
        <v>0.53085809946060181</v>
      </c>
      <c r="F178" s="68">
        <v>21062.966796875</v>
      </c>
      <c r="G178" s="84">
        <v>0.55644875764846802</v>
      </c>
      <c r="H178" s="85">
        <v>11.177640914916992</v>
      </c>
    </row>
    <row r="179" spans="1:8" x14ac:dyDescent="0.2">
      <c r="A179" t="s">
        <v>480</v>
      </c>
      <c r="D179" s="68">
        <v>0</v>
      </c>
      <c r="E179" s="84">
        <v>0</v>
      </c>
      <c r="F179" s="68">
        <v>1020</v>
      </c>
      <c r="G179" s="84">
        <v>2.6946714147925377E-2</v>
      </c>
    </row>
    <row r="180" spans="1:8" x14ac:dyDescent="0.2">
      <c r="A180" t="s">
        <v>460</v>
      </c>
      <c r="D180" s="68">
        <v>3549.694091796875</v>
      </c>
      <c r="E180" s="84">
        <v>1</v>
      </c>
      <c r="F180" s="68">
        <v>37852.48046875</v>
      </c>
      <c r="G180" s="84">
        <v>1</v>
      </c>
      <c r="H180" s="85">
        <v>10.663589477539063</v>
      </c>
    </row>
    <row r="181" spans="1:8" x14ac:dyDescent="0.2">
      <c r="A181" t="s">
        <v>462</v>
      </c>
      <c r="D181" s="68">
        <v>3540.00390625</v>
      </c>
      <c r="E181" s="84">
        <v>0.99727010726928711</v>
      </c>
      <c r="F181" s="68">
        <v>37947.375</v>
      </c>
      <c r="G181" s="84">
        <v>1.0025069713592529</v>
      </c>
      <c r="H181" s="85">
        <v>10.719585418701172</v>
      </c>
    </row>
    <row r="182" spans="1:8" x14ac:dyDescent="0.2">
      <c r="A182" t="s">
        <v>463</v>
      </c>
      <c r="D182" s="68">
        <v>3540.00390625</v>
      </c>
      <c r="E182" s="84">
        <v>0.99727010726928711</v>
      </c>
      <c r="F182" s="68">
        <v>37947.375</v>
      </c>
      <c r="G182" s="84">
        <v>1.0025069713592529</v>
      </c>
      <c r="H182" s="85">
        <v>10.719585418701172</v>
      </c>
    </row>
    <row r="183" spans="1:8" x14ac:dyDescent="0.2">
      <c r="A183" t="s">
        <v>464</v>
      </c>
      <c r="D183" s="68">
        <v>18.524999618530273</v>
      </c>
      <c r="E183" s="84">
        <v>5.2187596447765827E-3</v>
      </c>
      <c r="F183" s="68">
        <v>0</v>
      </c>
      <c r="G183" s="84">
        <v>0</v>
      </c>
    </row>
    <row r="184" spans="1:8" x14ac:dyDescent="0.2">
      <c r="A184" t="s">
        <v>544</v>
      </c>
      <c r="D184" s="68">
        <v>-8.8350000381469727</v>
      </c>
      <c r="E184" s="84">
        <v>-2.4889467749744654E-3</v>
      </c>
      <c r="F184" s="68">
        <v>-94.707534790039063</v>
      </c>
      <c r="G184" s="84">
        <v>-2.5020167231559753E-3</v>
      </c>
      <c r="H184" s="85">
        <v>10.719585418701172</v>
      </c>
    </row>
    <row r="185" spans="1:8" x14ac:dyDescent="0.2">
      <c r="A185" t="s">
        <v>465</v>
      </c>
      <c r="D185" s="68">
        <v>1.8596649169921875E-4</v>
      </c>
      <c r="E185" s="84">
        <v>5.2389442117828366E-8</v>
      </c>
      <c r="F185" s="68">
        <v>-0.1869964599609375</v>
      </c>
      <c r="G185" s="84">
        <v>-4.9401373871660326E-6</v>
      </c>
    </row>
    <row r="187" spans="1:8" x14ac:dyDescent="0.2">
      <c r="A187" t="s">
        <v>473</v>
      </c>
      <c r="D187" s="86">
        <v>0.27037790417671204</v>
      </c>
      <c r="E187" t="s">
        <v>474</v>
      </c>
    </row>
    <row r="188" spans="1:8" x14ac:dyDescent="0.2">
      <c r="A188" t="s">
        <v>475</v>
      </c>
      <c r="D188" s="68">
        <v>123.90066528320313</v>
      </c>
      <c r="E188" t="s">
        <v>476</v>
      </c>
    </row>
    <row r="189" spans="1:8" x14ac:dyDescent="0.2">
      <c r="A189" t="s">
        <v>477</v>
      </c>
      <c r="D189" s="68">
        <v>33.5</v>
      </c>
      <c r="E189" t="s">
        <v>478</v>
      </c>
    </row>
    <row r="191" spans="1:8" x14ac:dyDescent="0.2">
      <c r="A191" s="9" t="s">
        <v>162</v>
      </c>
      <c r="B191" s="9"/>
      <c r="C191" s="9" t="s">
        <v>274</v>
      </c>
      <c r="D191" s="9"/>
      <c r="E191" s="89" t="s">
        <v>520</v>
      </c>
      <c r="F191" s="69">
        <v>4</v>
      </c>
      <c r="G191" s="9" t="s">
        <v>527</v>
      </c>
      <c r="H191" s="9"/>
    </row>
    <row r="192" spans="1:8" x14ac:dyDescent="0.2">
      <c r="A192" s="9"/>
      <c r="B192" s="9"/>
      <c r="C192" s="9"/>
      <c r="D192" s="71" t="s">
        <v>161</v>
      </c>
      <c r="E192" s="71" t="s">
        <v>161</v>
      </c>
      <c r="F192" s="71" t="s">
        <v>85</v>
      </c>
      <c r="G192" s="71" t="s">
        <v>85</v>
      </c>
      <c r="H192" s="71" t="s">
        <v>164</v>
      </c>
    </row>
    <row r="193" spans="1:8" ht="14.25" x14ac:dyDescent="0.2">
      <c r="A193" s="73" t="s">
        <v>86</v>
      </c>
      <c r="B193" s="73" t="s">
        <v>159</v>
      </c>
      <c r="C193" s="74" t="s">
        <v>160</v>
      </c>
      <c r="D193" s="76" t="s">
        <v>185</v>
      </c>
      <c r="E193" s="75" t="s">
        <v>193</v>
      </c>
      <c r="F193" s="75" t="s">
        <v>163</v>
      </c>
      <c r="G193" s="75" t="s">
        <v>193</v>
      </c>
      <c r="H193" s="76" t="s">
        <v>189</v>
      </c>
    </row>
    <row r="194" spans="1:8" x14ac:dyDescent="0.2">
      <c r="A194" s="2">
        <v>21</v>
      </c>
      <c r="B194" s="2">
        <v>1</v>
      </c>
      <c r="C194" t="s">
        <v>561</v>
      </c>
      <c r="D194" s="68">
        <v>1427</v>
      </c>
      <c r="E194" s="84">
        <v>0.40200647711753845</v>
      </c>
      <c r="F194" s="68">
        <v>141273</v>
      </c>
      <c r="G194" s="84">
        <v>0.71673774719238281</v>
      </c>
      <c r="H194" s="85">
        <v>99</v>
      </c>
    </row>
    <row r="195" spans="1:8" x14ac:dyDescent="0.2">
      <c r="A195" s="2">
        <v>22</v>
      </c>
      <c r="B195" s="2">
        <v>1</v>
      </c>
      <c r="C195" t="s">
        <v>562</v>
      </c>
      <c r="D195" s="68">
        <v>80</v>
      </c>
      <c r="E195" s="84">
        <v>2.2537153214216232E-2</v>
      </c>
      <c r="F195" s="68">
        <v>9760</v>
      </c>
      <c r="G195" s="84">
        <v>4.9516614526510239E-2</v>
      </c>
      <c r="H195" s="85">
        <v>122</v>
      </c>
    </row>
    <row r="196" spans="1:8" x14ac:dyDescent="0.2">
      <c r="A196" s="2">
        <v>23</v>
      </c>
      <c r="B196" s="2">
        <v>1</v>
      </c>
      <c r="C196" t="s">
        <v>563</v>
      </c>
      <c r="D196" s="68">
        <v>116</v>
      </c>
      <c r="E196" s="84">
        <v>3.2678872346878052E-2</v>
      </c>
      <c r="F196" s="68">
        <v>10324</v>
      </c>
      <c r="G196" s="84">
        <v>5.2378024905920029E-2</v>
      </c>
      <c r="H196" s="85">
        <v>89</v>
      </c>
    </row>
    <row r="197" spans="1:8" x14ac:dyDescent="0.2">
      <c r="A197" s="2">
        <v>24</v>
      </c>
      <c r="B197" s="2">
        <v>1</v>
      </c>
      <c r="C197" t="s">
        <v>564</v>
      </c>
      <c r="D197" s="68">
        <v>12</v>
      </c>
      <c r="E197" s="84">
        <v>3.3805728890001774E-3</v>
      </c>
      <c r="F197" s="68">
        <v>1176</v>
      </c>
      <c r="G197" s="84">
        <v>5.9663462452590466E-3</v>
      </c>
      <c r="H197" s="85">
        <v>98</v>
      </c>
    </row>
    <row r="198" spans="1:8" x14ac:dyDescent="0.2">
      <c r="A198" s="2">
        <v>25</v>
      </c>
      <c r="B198" s="2">
        <v>1</v>
      </c>
      <c r="C198" t="s">
        <v>565</v>
      </c>
      <c r="D198" s="68">
        <v>2.2999999523162842</v>
      </c>
      <c r="E198" s="84">
        <v>6.4794311765581369E-4</v>
      </c>
      <c r="F198" s="68">
        <v>142.59999084472656</v>
      </c>
      <c r="G198" s="84">
        <v>7.2347017703577876E-4</v>
      </c>
      <c r="H198" s="85">
        <v>62</v>
      </c>
    </row>
    <row r="199" spans="1:8" x14ac:dyDescent="0.2">
      <c r="A199" s="2">
        <v>26</v>
      </c>
      <c r="B199" s="2">
        <v>3</v>
      </c>
      <c r="C199" t="s">
        <v>566</v>
      </c>
      <c r="D199" s="68">
        <v>0.64999997615814209</v>
      </c>
      <c r="E199" s="84">
        <v>1.8311435997020453E-4</v>
      </c>
      <c r="F199" s="68">
        <v>454.99996948242188</v>
      </c>
      <c r="G199" s="84">
        <v>2.3084075655788183E-3</v>
      </c>
      <c r="H199" s="85">
        <v>700</v>
      </c>
    </row>
    <row r="200" spans="1:8" x14ac:dyDescent="0.2">
      <c r="A200" t="s">
        <v>457</v>
      </c>
      <c r="D200" s="68">
        <v>27.35999870300293</v>
      </c>
      <c r="E200" s="84">
        <v>7.7077061869204044E-3</v>
      </c>
      <c r="F200" s="68">
        <v>458.85000610351563</v>
      </c>
      <c r="G200" s="84">
        <v>2.3279404267668724E-3</v>
      </c>
      <c r="H200" s="85">
        <v>16.770833969116211</v>
      </c>
    </row>
    <row r="201" spans="1:8" x14ac:dyDescent="0.2">
      <c r="A201" t="s">
        <v>458</v>
      </c>
      <c r="D201" s="68">
        <v>1637.300048828125</v>
      </c>
      <c r="E201" s="84">
        <v>0.46125102043151855</v>
      </c>
      <c r="F201" s="68">
        <v>162675.59375</v>
      </c>
      <c r="G201" s="84">
        <v>0.82532221078872681</v>
      </c>
      <c r="H201" s="85">
        <v>99.356002807617188</v>
      </c>
    </row>
    <row r="202" spans="1:8" x14ac:dyDescent="0.2">
      <c r="A202" t="s">
        <v>459</v>
      </c>
      <c r="D202" s="68">
        <v>0.64999997615814209</v>
      </c>
      <c r="E202" s="84">
        <v>1.8311435997020453E-4</v>
      </c>
      <c r="F202" s="68">
        <v>454.99996948242188</v>
      </c>
      <c r="G202" s="84">
        <v>2.3084075655788183E-3</v>
      </c>
      <c r="H202" s="85">
        <v>700</v>
      </c>
    </row>
    <row r="203" spans="1:8" x14ac:dyDescent="0.2">
      <c r="A203" t="s">
        <v>479</v>
      </c>
      <c r="D203" s="68">
        <v>1884.3839111328125</v>
      </c>
      <c r="E203" s="84">
        <v>0.53085809946060181</v>
      </c>
      <c r="F203" s="68">
        <v>33516.1171875</v>
      </c>
      <c r="G203" s="84">
        <v>0.17004145681858063</v>
      </c>
      <c r="H203" s="85">
        <v>17.786247253417969</v>
      </c>
    </row>
    <row r="204" spans="1:8" x14ac:dyDescent="0.2">
      <c r="A204" t="s">
        <v>460</v>
      </c>
      <c r="D204" s="68">
        <v>3549.694091796875</v>
      </c>
      <c r="E204" s="84">
        <v>1</v>
      </c>
      <c r="F204" s="68">
        <v>197105.5625</v>
      </c>
      <c r="G204" s="84">
        <v>1</v>
      </c>
      <c r="H204" s="85">
        <v>55.527477264404297</v>
      </c>
    </row>
    <row r="205" spans="1:8" x14ac:dyDescent="0.2">
      <c r="A205" t="s">
        <v>462</v>
      </c>
      <c r="D205" s="68">
        <v>3540.00390625</v>
      </c>
      <c r="E205" s="84">
        <v>0.99727010726928711</v>
      </c>
      <c r="F205" s="68">
        <v>59595.6640625</v>
      </c>
      <c r="G205" s="84">
        <v>0.30235403776168823</v>
      </c>
      <c r="H205" s="85">
        <v>16.834915161132813</v>
      </c>
    </row>
    <row r="206" spans="1:8" x14ac:dyDescent="0.2">
      <c r="A206" t="s">
        <v>472</v>
      </c>
      <c r="D206" s="68">
        <v>0</v>
      </c>
      <c r="E206" s="84">
        <v>0</v>
      </c>
      <c r="F206" s="68">
        <v>110599.6875</v>
      </c>
      <c r="G206" s="84">
        <v>0.56111907958984375</v>
      </c>
    </row>
    <row r="207" spans="1:8" x14ac:dyDescent="0.2">
      <c r="A207" t="s">
        <v>463</v>
      </c>
      <c r="D207" s="68">
        <v>3540.00390625</v>
      </c>
      <c r="E207" s="84">
        <v>0.99727010726928711</v>
      </c>
      <c r="F207" s="68">
        <v>170195.34375</v>
      </c>
      <c r="G207" s="84">
        <v>0.86347305774688721</v>
      </c>
      <c r="H207" s="85">
        <v>48.077728271484375</v>
      </c>
    </row>
    <row r="208" spans="1:8" x14ac:dyDescent="0.2">
      <c r="A208" t="s">
        <v>464</v>
      </c>
      <c r="D208" s="68">
        <v>18.524999618530273</v>
      </c>
      <c r="E208" s="84">
        <v>5.2187596447765827E-3</v>
      </c>
      <c r="F208" s="68">
        <v>0</v>
      </c>
      <c r="G208" s="84">
        <v>0</v>
      </c>
    </row>
    <row r="209" spans="1:8" x14ac:dyDescent="0.2">
      <c r="A209" t="s">
        <v>544</v>
      </c>
      <c r="D209" s="68">
        <v>-8.8350000381469727</v>
      </c>
      <c r="E209" s="84">
        <v>-2.4889467749744654E-3</v>
      </c>
      <c r="F209" s="68">
        <v>-148.73648071289063</v>
      </c>
      <c r="G209" s="84">
        <v>-7.5460318475961685E-4</v>
      </c>
      <c r="H209" s="85">
        <v>16.834915161132813</v>
      </c>
    </row>
    <row r="210" spans="1:8" x14ac:dyDescent="0.2">
      <c r="A210" t="s">
        <v>465</v>
      </c>
      <c r="D210" s="68">
        <v>1.8596649169921875E-4</v>
      </c>
      <c r="E210" s="84">
        <v>5.2389442117828366E-8</v>
      </c>
      <c r="F210" s="68">
        <v>27058.955078125</v>
      </c>
      <c r="G210" s="84">
        <v>0.13728153705596924</v>
      </c>
    </row>
    <row r="212" spans="1:8" x14ac:dyDescent="0.2">
      <c r="A212" t="s">
        <v>473</v>
      </c>
      <c r="D212" s="86">
        <v>0.27037790417671204</v>
      </c>
      <c r="E212" t="s">
        <v>474</v>
      </c>
    </row>
    <row r="213" spans="1:8" x14ac:dyDescent="0.2">
      <c r="A213" t="s">
        <v>475</v>
      </c>
      <c r="D213" s="68">
        <v>123.90066528320313</v>
      </c>
      <c r="E213" t="s">
        <v>476</v>
      </c>
    </row>
    <row r="214" spans="1:8" x14ac:dyDescent="0.2">
      <c r="A214" t="s">
        <v>477</v>
      </c>
      <c r="D214" s="68">
        <v>33.5</v>
      </c>
      <c r="E214" t="s">
        <v>478</v>
      </c>
    </row>
    <row r="216" spans="1:8" x14ac:dyDescent="0.2">
      <c r="A216" s="9" t="s">
        <v>162</v>
      </c>
      <c r="B216" s="9"/>
      <c r="C216" s="9" t="s">
        <v>537</v>
      </c>
      <c r="D216" s="9"/>
      <c r="E216" s="89" t="s">
        <v>520</v>
      </c>
      <c r="F216" s="69">
        <v>5</v>
      </c>
      <c r="G216" s="9" t="s">
        <v>528</v>
      </c>
      <c r="H216" s="9"/>
    </row>
    <row r="217" spans="1:8" x14ac:dyDescent="0.2">
      <c r="A217" s="9"/>
      <c r="B217" s="9"/>
      <c r="C217" s="9"/>
      <c r="D217" s="71" t="s">
        <v>161</v>
      </c>
      <c r="E217" s="71" t="s">
        <v>161</v>
      </c>
      <c r="F217" s="71" t="s">
        <v>85</v>
      </c>
      <c r="G217" s="71" t="s">
        <v>85</v>
      </c>
      <c r="H217" s="71" t="s">
        <v>164</v>
      </c>
    </row>
    <row r="218" spans="1:8" ht="14.25" x14ac:dyDescent="0.2">
      <c r="A218" s="73" t="s">
        <v>86</v>
      </c>
      <c r="B218" s="73" t="s">
        <v>159</v>
      </c>
      <c r="C218" s="74" t="s">
        <v>160</v>
      </c>
      <c r="D218" s="76" t="s">
        <v>185</v>
      </c>
      <c r="E218" s="75" t="s">
        <v>193</v>
      </c>
      <c r="F218" s="75" t="s">
        <v>163</v>
      </c>
      <c r="G218" s="75" t="s">
        <v>193</v>
      </c>
      <c r="H218" s="76" t="s">
        <v>189</v>
      </c>
    </row>
    <row r="219" spans="1:8" x14ac:dyDescent="0.2">
      <c r="A219" s="2">
        <v>27</v>
      </c>
      <c r="B219" s="2">
        <v>1</v>
      </c>
      <c r="C219" t="s">
        <v>567</v>
      </c>
      <c r="D219" s="68">
        <v>361</v>
      </c>
      <c r="E219" s="84">
        <v>3.7304501980543137E-2</v>
      </c>
      <c r="F219" s="68">
        <v>3357.300048828125</v>
      </c>
      <c r="G219" s="84">
        <v>3.3632490783929825E-2</v>
      </c>
      <c r="H219" s="85">
        <v>9.3000001907348633</v>
      </c>
    </row>
    <row r="220" spans="1:8" x14ac:dyDescent="0.2">
      <c r="A220" s="2">
        <v>28</v>
      </c>
      <c r="B220" s="2">
        <v>1</v>
      </c>
      <c r="C220" t="s">
        <v>568</v>
      </c>
      <c r="D220" s="68">
        <v>12</v>
      </c>
      <c r="E220" s="84">
        <v>1.2400388950482011E-3</v>
      </c>
      <c r="F220" s="68">
        <v>92.399993896484375</v>
      </c>
      <c r="G220" s="84">
        <v>9.2563725775107741E-4</v>
      </c>
      <c r="H220" s="85">
        <v>7.6999998092651367</v>
      </c>
    </row>
    <row r="221" spans="1:8" x14ac:dyDescent="0.2">
      <c r="A221" s="2">
        <v>29</v>
      </c>
      <c r="B221" s="2">
        <v>1</v>
      </c>
      <c r="C221" t="s">
        <v>569</v>
      </c>
      <c r="D221" s="68">
        <v>2003</v>
      </c>
      <c r="E221" s="84">
        <v>0.20698314905166626</v>
      </c>
      <c r="F221" s="68">
        <v>24636.900390625</v>
      </c>
      <c r="G221" s="84">
        <v>0.24680556356906891</v>
      </c>
      <c r="H221" s="85">
        <v>12.300000190734863</v>
      </c>
    </row>
    <row r="222" spans="1:8" x14ac:dyDescent="0.2">
      <c r="A222" s="2">
        <v>30</v>
      </c>
      <c r="B222" s="2">
        <v>1</v>
      </c>
      <c r="C222" t="s">
        <v>570</v>
      </c>
      <c r="D222" s="68">
        <v>804</v>
      </c>
      <c r="E222" s="84">
        <v>8.3082601428031921E-2</v>
      </c>
      <c r="F222" s="68">
        <v>4663.2001953125</v>
      </c>
      <c r="G222" s="84">
        <v>4.6714633703231812E-2</v>
      </c>
      <c r="H222" s="85">
        <v>5.8000001907348633</v>
      </c>
    </row>
    <row r="223" spans="1:8" x14ac:dyDescent="0.2">
      <c r="A223" s="2">
        <v>31</v>
      </c>
      <c r="B223" s="2">
        <v>1</v>
      </c>
      <c r="C223" t="s">
        <v>571</v>
      </c>
      <c r="D223" s="68">
        <v>84</v>
      </c>
      <c r="E223" s="84">
        <v>8.6802719160914421E-3</v>
      </c>
      <c r="F223" s="68">
        <v>798</v>
      </c>
      <c r="G223" s="84">
        <v>7.9941404983401299E-3</v>
      </c>
      <c r="H223" s="85">
        <v>9.5</v>
      </c>
    </row>
    <row r="224" spans="1:8" x14ac:dyDescent="0.2">
      <c r="A224" s="2">
        <v>32</v>
      </c>
      <c r="B224" s="2">
        <v>1</v>
      </c>
      <c r="C224" t="s">
        <v>572</v>
      </c>
      <c r="D224" s="68">
        <v>62</v>
      </c>
      <c r="E224" s="84">
        <v>6.4068674109876156E-3</v>
      </c>
      <c r="F224" s="68">
        <v>359.60000610351563</v>
      </c>
      <c r="G224" s="84">
        <v>3.6023720167577267E-3</v>
      </c>
      <c r="H224" s="85">
        <v>5.8000001907348633</v>
      </c>
    </row>
    <row r="225" spans="1:8" x14ac:dyDescent="0.2">
      <c r="A225" s="2">
        <v>33</v>
      </c>
      <c r="B225" s="2">
        <v>1</v>
      </c>
      <c r="C225" t="s">
        <v>573</v>
      </c>
      <c r="D225" s="68">
        <v>18</v>
      </c>
      <c r="E225" s="84">
        <v>1.8600582843646407E-3</v>
      </c>
      <c r="F225" s="68">
        <v>221.40000915527344</v>
      </c>
      <c r="G225" s="84">
        <v>2.2179232910275459E-3</v>
      </c>
      <c r="H225" s="85">
        <v>12.300000190734863</v>
      </c>
    </row>
    <row r="226" spans="1:8" x14ac:dyDescent="0.2">
      <c r="A226" s="2">
        <v>34</v>
      </c>
      <c r="B226" s="2">
        <v>1</v>
      </c>
      <c r="C226" t="s">
        <v>574</v>
      </c>
      <c r="D226" s="68">
        <v>55</v>
      </c>
      <c r="E226" s="84">
        <v>5.68351149559021E-3</v>
      </c>
      <c r="F226" s="68">
        <v>379.5</v>
      </c>
      <c r="G226" s="84">
        <v>3.8017246406525373E-3</v>
      </c>
      <c r="H226" s="85">
        <v>6.9000000953674316</v>
      </c>
    </row>
    <row r="227" spans="1:8" x14ac:dyDescent="0.2">
      <c r="A227" s="2">
        <v>35</v>
      </c>
      <c r="B227" s="2">
        <v>3</v>
      </c>
      <c r="C227" t="s">
        <v>575</v>
      </c>
      <c r="D227" s="68">
        <v>1.7999999523162842</v>
      </c>
      <c r="E227" s="84">
        <v>1.8600582552608103E-4</v>
      </c>
      <c r="F227" s="68">
        <v>127.79999542236328</v>
      </c>
      <c r="G227" s="84">
        <v>1.2802645796909928E-3</v>
      </c>
      <c r="H227" s="85">
        <v>71</v>
      </c>
    </row>
    <row r="228" spans="1:8" x14ac:dyDescent="0.2">
      <c r="A228" s="2">
        <v>68</v>
      </c>
      <c r="B228" s="2">
        <v>1</v>
      </c>
      <c r="C228" t="s">
        <v>576</v>
      </c>
      <c r="D228" s="68">
        <v>1</v>
      </c>
      <c r="E228" s="84">
        <v>1.0333656973671168E-4</v>
      </c>
      <c r="F228" s="68">
        <v>3500</v>
      </c>
      <c r="G228" s="84">
        <v>3.5062018781900406E-2</v>
      </c>
      <c r="H228" s="85">
        <v>3500</v>
      </c>
    </row>
    <row r="229" spans="1:8" x14ac:dyDescent="0.2">
      <c r="A229" s="2">
        <v>72</v>
      </c>
      <c r="B229" s="2">
        <v>4</v>
      </c>
      <c r="C229" t="s">
        <v>577</v>
      </c>
      <c r="D229" s="68">
        <v>7.5999999046325684</v>
      </c>
      <c r="E229" s="84">
        <v>7.8535790089517832E-4</v>
      </c>
      <c r="F229" s="68">
        <v>80.639755249023438</v>
      </c>
      <c r="G229" s="84">
        <v>8.0782646546140313E-4</v>
      </c>
      <c r="H229" s="85">
        <v>10.610494613647461</v>
      </c>
    </row>
    <row r="230" spans="1:8" x14ac:dyDescent="0.2">
      <c r="A230" t="s">
        <v>457</v>
      </c>
      <c r="D230" s="68">
        <v>397.5360107421875</v>
      </c>
      <c r="E230" s="84">
        <v>4.1080009192228317E-2</v>
      </c>
      <c r="F230" s="68">
        <v>114.29159545898438</v>
      </c>
      <c r="G230" s="84">
        <v>1.1449411977082491E-3</v>
      </c>
      <c r="H230" s="85">
        <v>0.28749999403953552</v>
      </c>
    </row>
    <row r="231" spans="1:8" x14ac:dyDescent="0.2">
      <c r="A231" t="s">
        <v>458</v>
      </c>
      <c r="D231" s="68">
        <v>3400</v>
      </c>
      <c r="E231" s="84">
        <v>0.35134434700012207</v>
      </c>
      <c r="F231" s="68">
        <v>38008.296875</v>
      </c>
      <c r="G231" s="84">
        <v>0.38075646758079529</v>
      </c>
      <c r="H231" s="85">
        <v>11.178911209106445</v>
      </c>
    </row>
    <row r="232" spans="1:8" x14ac:dyDescent="0.2">
      <c r="A232" t="s">
        <v>459</v>
      </c>
      <c r="D232" s="68">
        <v>1.7999999523162842</v>
      </c>
      <c r="E232" s="84">
        <v>1.8600582552608103E-4</v>
      </c>
      <c r="F232" s="68">
        <v>127.79999542236328</v>
      </c>
      <c r="G232" s="84">
        <v>1.2802645796909928E-3</v>
      </c>
      <c r="H232" s="85">
        <v>71</v>
      </c>
    </row>
    <row r="233" spans="1:8" x14ac:dyDescent="0.2">
      <c r="A233" t="s">
        <v>479</v>
      </c>
      <c r="D233" s="68">
        <v>5877.7802734375</v>
      </c>
      <c r="E233" s="84">
        <v>0.60738962888717651</v>
      </c>
      <c r="F233" s="68">
        <v>60819.10546875</v>
      </c>
      <c r="G233" s="84">
        <v>0.60926872491836548</v>
      </c>
      <c r="H233" s="85">
        <v>10.347290992736816</v>
      </c>
    </row>
    <row r="234" spans="1:8" x14ac:dyDescent="0.2">
      <c r="A234" t="s">
        <v>480</v>
      </c>
      <c r="D234" s="68">
        <v>0</v>
      </c>
      <c r="E234" s="84">
        <v>0</v>
      </c>
      <c r="F234" s="68">
        <v>753.625</v>
      </c>
      <c r="G234" s="84">
        <v>7.5496039353311062E-3</v>
      </c>
    </row>
    <row r="235" spans="1:8" x14ac:dyDescent="0.2">
      <c r="A235" t="s">
        <v>460</v>
      </c>
      <c r="D235" s="68">
        <v>9677.1162109375</v>
      </c>
      <c r="E235" s="84">
        <v>1</v>
      </c>
      <c r="F235" s="68">
        <v>99823.1171875</v>
      </c>
      <c r="G235" s="84">
        <v>1</v>
      </c>
      <c r="H235" s="85">
        <v>10.315378189086914</v>
      </c>
    </row>
    <row r="236" spans="1:8" x14ac:dyDescent="0.2">
      <c r="A236" t="s">
        <v>461</v>
      </c>
      <c r="D236" s="68">
        <v>7.5999999046325684</v>
      </c>
      <c r="E236" s="84">
        <v>7.8535790089517832E-4</v>
      </c>
      <c r="F236" s="68">
        <v>80.639755249023438</v>
      </c>
      <c r="G236" s="84">
        <v>8.0782646546140313E-4</v>
      </c>
      <c r="H236" s="85">
        <v>10.610494613647461</v>
      </c>
    </row>
    <row r="237" spans="1:8" x14ac:dyDescent="0.2">
      <c r="A237" t="s">
        <v>462</v>
      </c>
      <c r="D237" s="68">
        <v>9528.7216796875</v>
      </c>
      <c r="E237" s="84">
        <v>0.9846653938293457</v>
      </c>
      <c r="F237" s="68">
        <v>101104.453125</v>
      </c>
      <c r="G237" s="84">
        <v>1.0128360986709595</v>
      </c>
      <c r="H237" s="85">
        <v>10.610494613647461</v>
      </c>
    </row>
    <row r="238" spans="1:8" x14ac:dyDescent="0.2">
      <c r="A238" t="s">
        <v>463</v>
      </c>
      <c r="D238" s="68">
        <v>9536.3212890625</v>
      </c>
      <c r="E238" s="84">
        <v>0.98545074462890625</v>
      </c>
      <c r="F238" s="68">
        <v>101185.09375</v>
      </c>
      <c r="G238" s="84">
        <v>1.0136438608169556</v>
      </c>
      <c r="H238" s="85">
        <v>10.610495567321777</v>
      </c>
    </row>
    <row r="239" spans="1:8" x14ac:dyDescent="0.2">
      <c r="A239" t="s">
        <v>464</v>
      </c>
      <c r="D239" s="68">
        <v>269.16500854492188</v>
      </c>
      <c r="E239" s="84">
        <v>2.7814589440822601E-2</v>
      </c>
      <c r="F239" s="68">
        <v>0</v>
      </c>
      <c r="G239" s="84">
        <v>0</v>
      </c>
    </row>
    <row r="240" spans="1:8" x14ac:dyDescent="0.2">
      <c r="A240" t="s">
        <v>544</v>
      </c>
      <c r="D240" s="68">
        <v>-128.37100219726563</v>
      </c>
      <c r="E240" s="84">
        <v>-1.3265418820083141E-2</v>
      </c>
      <c r="F240" s="68">
        <v>-1362.079833984375</v>
      </c>
      <c r="G240" s="84">
        <v>-1.3644933700561523E-2</v>
      </c>
      <c r="H240" s="85">
        <v>10.610494613647461</v>
      </c>
    </row>
    <row r="241" spans="1:8" x14ac:dyDescent="0.2">
      <c r="A241" t="s">
        <v>465</v>
      </c>
      <c r="D241" s="68">
        <v>9.1552734375E-4</v>
      </c>
      <c r="E241" s="84">
        <v>9.4607457867823541E-8</v>
      </c>
      <c r="F241" s="68">
        <v>0.103271484375</v>
      </c>
      <c r="G241" s="84">
        <v>1.0345447662984952E-6</v>
      </c>
    </row>
    <row r="243" spans="1:8" x14ac:dyDescent="0.2">
      <c r="A243" t="s">
        <v>473</v>
      </c>
      <c r="D243" s="86">
        <v>1.782646656036377</v>
      </c>
      <c r="E243" t="s">
        <v>474</v>
      </c>
    </row>
    <row r="244" spans="1:8" x14ac:dyDescent="0.2">
      <c r="A244" t="s">
        <v>475</v>
      </c>
      <c r="D244" s="68">
        <v>22.719028472900391</v>
      </c>
      <c r="E244" t="s">
        <v>476</v>
      </c>
    </row>
    <row r="245" spans="1:8" x14ac:dyDescent="0.2">
      <c r="A245" t="s">
        <v>477</v>
      </c>
      <c r="D245" s="68">
        <v>40.5</v>
      </c>
      <c r="E245" t="s">
        <v>478</v>
      </c>
    </row>
    <row r="247" spans="1:8" x14ac:dyDescent="0.2">
      <c r="A247" s="9" t="s">
        <v>162</v>
      </c>
      <c r="B247" s="9"/>
      <c r="C247" s="9" t="s">
        <v>274</v>
      </c>
      <c r="D247" s="9"/>
      <c r="E247" s="89" t="s">
        <v>520</v>
      </c>
      <c r="F247" s="69">
        <v>5</v>
      </c>
      <c r="G247" s="9" t="s">
        <v>528</v>
      </c>
      <c r="H247" s="9"/>
    </row>
    <row r="248" spans="1:8" x14ac:dyDescent="0.2">
      <c r="A248" s="9"/>
      <c r="B248" s="9"/>
      <c r="C248" s="9"/>
      <c r="D248" s="71" t="s">
        <v>161</v>
      </c>
      <c r="E248" s="71" t="s">
        <v>161</v>
      </c>
      <c r="F248" s="71" t="s">
        <v>85</v>
      </c>
      <c r="G248" s="71" t="s">
        <v>85</v>
      </c>
      <c r="H248" s="71" t="s">
        <v>164</v>
      </c>
    </row>
    <row r="249" spans="1:8" ht="14.25" x14ac:dyDescent="0.2">
      <c r="A249" s="73" t="s">
        <v>86</v>
      </c>
      <c r="B249" s="73" t="s">
        <v>159</v>
      </c>
      <c r="C249" s="74" t="s">
        <v>160</v>
      </c>
      <c r="D249" s="76" t="s">
        <v>185</v>
      </c>
      <c r="E249" s="75" t="s">
        <v>193</v>
      </c>
      <c r="F249" s="75" t="s">
        <v>163</v>
      </c>
      <c r="G249" s="75" t="s">
        <v>193</v>
      </c>
      <c r="H249" s="76" t="s">
        <v>189</v>
      </c>
    </row>
    <row r="250" spans="1:8" x14ac:dyDescent="0.2">
      <c r="A250" s="2">
        <v>27</v>
      </c>
      <c r="B250" s="2">
        <v>1</v>
      </c>
      <c r="C250" t="s">
        <v>567</v>
      </c>
      <c r="D250" s="68">
        <v>361</v>
      </c>
      <c r="E250" s="84">
        <v>3.7304501980543137E-2</v>
      </c>
      <c r="F250" s="68">
        <v>21660</v>
      </c>
      <c r="G250" s="84">
        <v>4.5211341232061386E-2</v>
      </c>
      <c r="H250" s="85">
        <v>60</v>
      </c>
    </row>
    <row r="251" spans="1:8" x14ac:dyDescent="0.2">
      <c r="A251" s="2">
        <v>28</v>
      </c>
      <c r="B251" s="2">
        <v>1</v>
      </c>
      <c r="C251" t="s">
        <v>568</v>
      </c>
      <c r="D251" s="68">
        <v>12</v>
      </c>
      <c r="E251" s="84">
        <v>1.2400388950482011E-3</v>
      </c>
      <c r="F251" s="68">
        <v>144</v>
      </c>
      <c r="G251" s="84">
        <v>3.0057402909733355E-4</v>
      </c>
      <c r="H251" s="85">
        <v>12</v>
      </c>
    </row>
    <row r="252" spans="1:8" x14ac:dyDescent="0.2">
      <c r="A252" s="2">
        <v>29</v>
      </c>
      <c r="B252" s="2">
        <v>1</v>
      </c>
      <c r="C252" t="s">
        <v>569</v>
      </c>
      <c r="D252" s="68">
        <v>2003</v>
      </c>
      <c r="E252" s="84">
        <v>0.20698314905166626</v>
      </c>
      <c r="F252" s="68">
        <v>154231</v>
      </c>
      <c r="G252" s="84">
        <v>0.32192939519882202</v>
      </c>
      <c r="H252" s="85">
        <v>77</v>
      </c>
    </row>
    <row r="253" spans="1:8" x14ac:dyDescent="0.2">
      <c r="A253" s="2">
        <v>30</v>
      </c>
      <c r="B253" s="2">
        <v>1</v>
      </c>
      <c r="C253" t="s">
        <v>570</v>
      </c>
      <c r="D253" s="68">
        <v>804</v>
      </c>
      <c r="E253" s="84">
        <v>8.3082601428031921E-2</v>
      </c>
      <c r="F253" s="68">
        <v>24120</v>
      </c>
      <c r="G253" s="84">
        <v>5.0346150994300842E-2</v>
      </c>
      <c r="H253" s="85">
        <v>30</v>
      </c>
    </row>
    <row r="254" spans="1:8" x14ac:dyDescent="0.2">
      <c r="A254" s="2">
        <v>31</v>
      </c>
      <c r="B254" s="2">
        <v>1</v>
      </c>
      <c r="C254" t="s">
        <v>571</v>
      </c>
      <c r="D254" s="68">
        <v>84</v>
      </c>
      <c r="E254" s="84">
        <v>8.6802719160914421E-3</v>
      </c>
      <c r="F254" s="68">
        <v>4620</v>
      </c>
      <c r="G254" s="84">
        <v>9.6434168517589569E-3</v>
      </c>
      <c r="H254" s="85">
        <v>55</v>
      </c>
    </row>
    <row r="255" spans="1:8" x14ac:dyDescent="0.2">
      <c r="A255" s="2">
        <v>32</v>
      </c>
      <c r="B255" s="2">
        <v>1</v>
      </c>
      <c r="C255" t="s">
        <v>572</v>
      </c>
      <c r="D255" s="68">
        <v>62</v>
      </c>
      <c r="E255" s="84">
        <v>6.4068674109876156E-3</v>
      </c>
      <c r="F255" s="68">
        <v>1984</v>
      </c>
      <c r="G255" s="84">
        <v>4.1412422433495522E-3</v>
      </c>
      <c r="H255" s="85">
        <v>32</v>
      </c>
    </row>
    <row r="256" spans="1:8" x14ac:dyDescent="0.2">
      <c r="A256" s="2">
        <v>33</v>
      </c>
      <c r="B256" s="2">
        <v>1</v>
      </c>
      <c r="C256" t="s">
        <v>573</v>
      </c>
      <c r="D256" s="68">
        <v>18</v>
      </c>
      <c r="E256" s="84">
        <v>1.8600582843646407E-3</v>
      </c>
      <c r="F256" s="68">
        <v>1332</v>
      </c>
      <c r="G256" s="84">
        <v>2.7803096454590559E-3</v>
      </c>
      <c r="H256" s="85">
        <v>74</v>
      </c>
    </row>
    <row r="257" spans="1:8" x14ac:dyDescent="0.2">
      <c r="A257" s="2">
        <v>34</v>
      </c>
      <c r="B257" s="2">
        <v>1</v>
      </c>
      <c r="C257" t="s">
        <v>574</v>
      </c>
      <c r="D257" s="68">
        <v>55</v>
      </c>
      <c r="E257" s="84">
        <v>5.68351149559021E-3</v>
      </c>
      <c r="F257" s="68">
        <v>1870</v>
      </c>
      <c r="G257" s="84">
        <v>3.9032876957207918E-3</v>
      </c>
      <c r="H257" s="85">
        <v>34</v>
      </c>
    </row>
    <row r="258" spans="1:8" x14ac:dyDescent="0.2">
      <c r="A258" s="2">
        <v>35</v>
      </c>
      <c r="B258" s="2">
        <v>3</v>
      </c>
      <c r="C258" t="s">
        <v>575</v>
      </c>
      <c r="D258" s="68">
        <v>1.7999999523162842</v>
      </c>
      <c r="E258" s="84">
        <v>1.8600582552608103E-4</v>
      </c>
      <c r="F258" s="68">
        <v>3438</v>
      </c>
      <c r="G258" s="84">
        <v>7.1762050502002239E-3</v>
      </c>
      <c r="H258" s="85">
        <v>1910</v>
      </c>
    </row>
    <row r="259" spans="1:8" x14ac:dyDescent="0.2">
      <c r="A259" s="2">
        <v>72</v>
      </c>
      <c r="B259" s="2">
        <v>4</v>
      </c>
      <c r="C259" t="s">
        <v>577</v>
      </c>
      <c r="D259" s="68">
        <v>7.5999999046325684</v>
      </c>
      <c r="E259" s="84">
        <v>7.8535790089517832E-4</v>
      </c>
      <c r="F259" s="68">
        <v>108.89157867431641</v>
      </c>
      <c r="G259" s="84">
        <v>2.2729152988176793E-4</v>
      </c>
      <c r="H259" s="85">
        <v>14.327839851379395</v>
      </c>
    </row>
    <row r="260" spans="1:8" x14ac:dyDescent="0.2">
      <c r="A260" t="s">
        <v>457</v>
      </c>
      <c r="D260" s="68">
        <v>397.5360107421875</v>
      </c>
      <c r="E260" s="84">
        <v>4.1080009192228317E-2</v>
      </c>
      <c r="F260" s="68">
        <v>6667.01025390625</v>
      </c>
      <c r="G260" s="84">
        <v>1.3916181400418282E-2</v>
      </c>
      <c r="H260" s="85">
        <v>16.770833969116211</v>
      </c>
    </row>
    <row r="261" spans="1:8" x14ac:dyDescent="0.2">
      <c r="A261" t="s">
        <v>458</v>
      </c>
      <c r="D261" s="68">
        <v>3400</v>
      </c>
      <c r="E261" s="84">
        <v>0.35134434700012207</v>
      </c>
      <c r="F261" s="68">
        <v>209961</v>
      </c>
      <c r="G261" s="84">
        <v>0.43825572729110718</v>
      </c>
      <c r="H261" s="85">
        <v>61.75323486328125</v>
      </c>
    </row>
    <row r="262" spans="1:8" x14ac:dyDescent="0.2">
      <c r="A262" t="s">
        <v>459</v>
      </c>
      <c r="D262" s="68">
        <v>1.7999999523162842</v>
      </c>
      <c r="E262" s="84">
        <v>1.8600582552608103E-4</v>
      </c>
      <c r="F262" s="68">
        <v>3438</v>
      </c>
      <c r="G262" s="84">
        <v>7.1762050502002239E-3</v>
      </c>
      <c r="H262" s="85">
        <v>1910</v>
      </c>
    </row>
    <row r="263" spans="1:8" x14ac:dyDescent="0.2">
      <c r="A263" t="s">
        <v>479</v>
      </c>
      <c r="D263" s="68">
        <v>5877.7802734375</v>
      </c>
      <c r="E263" s="84">
        <v>0.60738962888717651</v>
      </c>
      <c r="F263" s="68">
        <v>91863.5625</v>
      </c>
      <c r="G263" s="84">
        <v>0.19174861907958984</v>
      </c>
      <c r="H263" s="85">
        <v>15.628954887390137</v>
      </c>
    </row>
    <row r="264" spans="1:8" x14ac:dyDescent="0.2">
      <c r="A264" t="s">
        <v>480</v>
      </c>
      <c r="D264" s="68">
        <v>0</v>
      </c>
      <c r="E264" s="84">
        <v>0</v>
      </c>
      <c r="F264" s="68">
        <v>167153.75</v>
      </c>
      <c r="G264" s="84">
        <v>0.34890329837799072</v>
      </c>
    </row>
    <row r="265" spans="1:8" x14ac:dyDescent="0.2">
      <c r="A265" t="s">
        <v>460</v>
      </c>
      <c r="D265" s="68">
        <v>9677.1162109375</v>
      </c>
      <c r="E265" s="84">
        <v>1</v>
      </c>
      <c r="F265" s="68">
        <v>479083.3125</v>
      </c>
      <c r="G265" s="84">
        <v>1</v>
      </c>
      <c r="H265" s="85">
        <v>49.506828308105469</v>
      </c>
    </row>
    <row r="266" spans="1:8" x14ac:dyDescent="0.2">
      <c r="A266" t="s">
        <v>461</v>
      </c>
      <c r="D266" s="68">
        <v>7.5999999046325684</v>
      </c>
      <c r="E266" s="84">
        <v>7.8535790089517832E-4</v>
      </c>
      <c r="F266" s="68">
        <v>108.89157867431641</v>
      </c>
      <c r="G266" s="84">
        <v>2.2729152988176793E-4</v>
      </c>
      <c r="H266" s="85">
        <v>14.327839851379395</v>
      </c>
    </row>
    <row r="267" spans="1:8" x14ac:dyDescent="0.2">
      <c r="A267" t="s">
        <v>462</v>
      </c>
      <c r="D267" s="68">
        <v>9528.7216796875</v>
      </c>
      <c r="E267" s="84">
        <v>0.9846653938293457</v>
      </c>
      <c r="F267" s="68">
        <v>136526</v>
      </c>
      <c r="G267" s="84">
        <v>0.28497341275215149</v>
      </c>
      <c r="H267" s="85">
        <v>14.327839851379395</v>
      </c>
    </row>
    <row r="268" spans="1:8" x14ac:dyDescent="0.2">
      <c r="A268" t="s">
        <v>463</v>
      </c>
      <c r="D268" s="68">
        <v>9536.3212890625</v>
      </c>
      <c r="E268" s="84">
        <v>0.98545074462890625</v>
      </c>
      <c r="F268" s="68">
        <v>136634.890625</v>
      </c>
      <c r="G268" s="84">
        <v>0.28520068526268005</v>
      </c>
      <c r="H268" s="85">
        <v>14.327840805053711</v>
      </c>
    </row>
    <row r="269" spans="1:8" x14ac:dyDescent="0.2">
      <c r="A269" t="s">
        <v>464</v>
      </c>
      <c r="D269" s="68">
        <v>269.16500854492188</v>
      </c>
      <c r="E269" s="84">
        <v>2.7814589440822601E-2</v>
      </c>
      <c r="F269" s="68">
        <v>0</v>
      </c>
      <c r="G269" s="84">
        <v>0</v>
      </c>
    </row>
    <row r="270" spans="1:8" x14ac:dyDescent="0.2">
      <c r="A270" t="s">
        <v>544</v>
      </c>
      <c r="D270" s="68">
        <v>-128.37100219726563</v>
      </c>
      <c r="E270" s="84">
        <v>-1.3265418820083141E-2</v>
      </c>
      <c r="F270" s="68">
        <v>-1839.2791748046875</v>
      </c>
      <c r="G270" s="84">
        <v>-3.8391635753214359E-3</v>
      </c>
      <c r="H270" s="85">
        <v>14.327839851379395</v>
      </c>
    </row>
    <row r="271" spans="1:8" x14ac:dyDescent="0.2">
      <c r="A271" t="s">
        <v>465</v>
      </c>
      <c r="D271" s="68">
        <v>9.1552734375E-4</v>
      </c>
      <c r="E271" s="84">
        <v>9.4607457867823541E-8</v>
      </c>
      <c r="F271" s="68">
        <v>344287.6875</v>
      </c>
      <c r="G271" s="84">
        <v>0.71863842010498047</v>
      </c>
    </row>
    <row r="273" spans="1:8" x14ac:dyDescent="0.2">
      <c r="A273" t="s">
        <v>473</v>
      </c>
      <c r="D273" s="86">
        <v>1.782646656036377</v>
      </c>
      <c r="E273" t="s">
        <v>474</v>
      </c>
    </row>
    <row r="274" spans="1:8" x14ac:dyDescent="0.2">
      <c r="A274" t="s">
        <v>475</v>
      </c>
      <c r="D274" s="68">
        <v>22.719028472900391</v>
      </c>
      <c r="E274" t="s">
        <v>476</v>
      </c>
    </row>
    <row r="275" spans="1:8" x14ac:dyDescent="0.2">
      <c r="A275" t="s">
        <v>477</v>
      </c>
      <c r="D275" s="68">
        <v>40.5</v>
      </c>
      <c r="E275" t="s">
        <v>478</v>
      </c>
    </row>
    <row r="277" spans="1:8" x14ac:dyDescent="0.2">
      <c r="A277" s="9" t="s">
        <v>162</v>
      </c>
      <c r="B277" s="9"/>
      <c r="C277" s="9" t="s">
        <v>537</v>
      </c>
      <c r="D277" s="9"/>
      <c r="E277" s="89" t="s">
        <v>520</v>
      </c>
      <c r="F277" s="69">
        <v>6</v>
      </c>
      <c r="G277" s="9" t="s">
        <v>529</v>
      </c>
      <c r="H277" s="9"/>
    </row>
    <row r="278" spans="1:8" x14ac:dyDescent="0.2">
      <c r="A278" s="9"/>
      <c r="B278" s="9"/>
      <c r="C278" s="9"/>
      <c r="D278" s="71" t="s">
        <v>161</v>
      </c>
      <c r="E278" s="71" t="s">
        <v>161</v>
      </c>
      <c r="F278" s="71" t="s">
        <v>85</v>
      </c>
      <c r="G278" s="71" t="s">
        <v>85</v>
      </c>
      <c r="H278" s="71" t="s">
        <v>164</v>
      </c>
    </row>
    <row r="279" spans="1:8" ht="14.25" x14ac:dyDescent="0.2">
      <c r="A279" s="73" t="s">
        <v>86</v>
      </c>
      <c r="B279" s="73" t="s">
        <v>159</v>
      </c>
      <c r="C279" s="74" t="s">
        <v>160</v>
      </c>
      <c r="D279" s="76" t="s">
        <v>185</v>
      </c>
      <c r="E279" s="75" t="s">
        <v>193</v>
      </c>
      <c r="F279" s="75" t="s">
        <v>163</v>
      </c>
      <c r="G279" s="75" t="s">
        <v>193</v>
      </c>
      <c r="H279" s="76" t="s">
        <v>189</v>
      </c>
    </row>
    <row r="280" spans="1:8" x14ac:dyDescent="0.2">
      <c r="A280" s="2">
        <v>36</v>
      </c>
      <c r="B280" s="2">
        <v>1</v>
      </c>
      <c r="C280" t="s">
        <v>578</v>
      </c>
      <c r="D280" s="68">
        <v>58</v>
      </c>
      <c r="E280" s="84">
        <v>0.68222445249557495</v>
      </c>
      <c r="F280" s="68">
        <v>1566</v>
      </c>
      <c r="G280" s="84">
        <v>0.709788978099823</v>
      </c>
      <c r="H280" s="85">
        <v>27</v>
      </c>
    </row>
    <row r="281" spans="1:8" x14ac:dyDescent="0.2">
      <c r="A281" s="2">
        <v>37</v>
      </c>
      <c r="B281" s="2">
        <v>1</v>
      </c>
      <c r="C281" t="s">
        <v>579</v>
      </c>
      <c r="D281" s="68">
        <v>16</v>
      </c>
      <c r="E281" s="84">
        <v>0.18819984793663025</v>
      </c>
      <c r="F281" s="68">
        <v>432</v>
      </c>
      <c r="G281" s="84">
        <v>0.19580385088920593</v>
      </c>
      <c r="H281" s="85">
        <v>27</v>
      </c>
    </row>
    <row r="282" spans="1:8" x14ac:dyDescent="0.2">
      <c r="A282" s="2">
        <v>38</v>
      </c>
      <c r="B282" s="2">
        <v>3</v>
      </c>
      <c r="C282" t="s">
        <v>580</v>
      </c>
      <c r="D282" s="68">
        <v>0.37999999523162842</v>
      </c>
      <c r="E282" s="84">
        <v>4.469746258109808E-3</v>
      </c>
      <c r="F282" s="68">
        <v>45.220001220703125</v>
      </c>
      <c r="G282" s="84">
        <v>2.0495951175689697E-2</v>
      </c>
      <c r="H282" s="85">
        <v>119</v>
      </c>
    </row>
    <row r="283" spans="1:8" x14ac:dyDescent="0.2">
      <c r="A283" s="2">
        <v>39</v>
      </c>
      <c r="B283" s="2">
        <v>3</v>
      </c>
      <c r="C283" t="s">
        <v>581</v>
      </c>
      <c r="D283" s="68">
        <v>0.41999998688697815</v>
      </c>
      <c r="E283" s="84">
        <v>4.9402462318539619E-3</v>
      </c>
      <c r="F283" s="68">
        <v>42.419998168945313</v>
      </c>
      <c r="G283" s="84">
        <v>1.922684907913208E-2</v>
      </c>
      <c r="H283" s="85">
        <v>101</v>
      </c>
    </row>
    <row r="284" spans="1:8" x14ac:dyDescent="0.2">
      <c r="A284" s="2">
        <v>40</v>
      </c>
      <c r="B284" s="2">
        <v>3</v>
      </c>
      <c r="C284" t="s">
        <v>582</v>
      </c>
      <c r="D284" s="68">
        <v>1</v>
      </c>
      <c r="E284" s="84">
        <v>1.1762490496039391E-2</v>
      </c>
      <c r="F284" s="68">
        <v>118</v>
      </c>
      <c r="G284" s="84">
        <v>5.348346009850502E-2</v>
      </c>
      <c r="H284" s="85">
        <v>118</v>
      </c>
    </row>
    <row r="285" spans="1:8" x14ac:dyDescent="0.2">
      <c r="A285" s="2">
        <v>71</v>
      </c>
      <c r="B285" s="2">
        <v>4</v>
      </c>
      <c r="C285" t="s">
        <v>583</v>
      </c>
      <c r="D285" s="68">
        <v>11.5</v>
      </c>
      <c r="E285" s="84">
        <v>0.13526864349842072</v>
      </c>
      <c r="F285" s="68">
        <v>125.24053955078125</v>
      </c>
      <c r="G285" s="84">
        <v>5.6765232235193253E-2</v>
      </c>
      <c r="H285" s="85">
        <v>10.890481948852539</v>
      </c>
    </row>
    <row r="286" spans="1:8" x14ac:dyDescent="0.2">
      <c r="A286" t="s">
        <v>457</v>
      </c>
      <c r="D286" s="68">
        <v>9.2160005569458008</v>
      </c>
      <c r="E286" s="84">
        <v>0.10840312391519547</v>
      </c>
      <c r="F286" s="68">
        <v>2.6496000289916992</v>
      </c>
      <c r="G286" s="84">
        <v>1.2009303318336606E-3</v>
      </c>
      <c r="H286" s="85">
        <v>0.28749999403953552</v>
      </c>
    </row>
    <row r="287" spans="1:8" x14ac:dyDescent="0.2">
      <c r="A287" t="s">
        <v>458</v>
      </c>
      <c r="D287" s="68">
        <v>74</v>
      </c>
      <c r="E287" s="84">
        <v>0.87042433023452759</v>
      </c>
      <c r="F287" s="68">
        <v>1998</v>
      </c>
      <c r="G287" s="84">
        <v>0.90559285879135132</v>
      </c>
      <c r="H287" s="85">
        <v>27</v>
      </c>
    </row>
    <row r="288" spans="1:8" x14ac:dyDescent="0.2">
      <c r="A288" t="s">
        <v>459</v>
      </c>
      <c r="D288" s="68">
        <v>1.7999999523162842</v>
      </c>
      <c r="E288" s="84">
        <v>2.1172482520341873E-2</v>
      </c>
      <c r="F288" s="68">
        <v>205.63999938964844</v>
      </c>
      <c r="G288" s="84">
        <v>9.3206264078617096E-2</v>
      </c>
      <c r="H288" s="85">
        <v>114.24444580078125</v>
      </c>
    </row>
    <row r="289" spans="1:8" x14ac:dyDescent="0.2">
      <c r="A289" t="s">
        <v>460</v>
      </c>
      <c r="D289" s="68">
        <v>85.016006469726563</v>
      </c>
      <c r="E289" s="84">
        <v>1</v>
      </c>
      <c r="F289" s="68">
        <v>2206.28955078125</v>
      </c>
      <c r="G289" s="84">
        <v>1</v>
      </c>
      <c r="H289" s="85">
        <v>25.951459884643555</v>
      </c>
    </row>
    <row r="290" spans="1:8" x14ac:dyDescent="0.2">
      <c r="A290" t="s">
        <v>461</v>
      </c>
      <c r="D290" s="68">
        <v>11.5</v>
      </c>
      <c r="E290" s="84">
        <v>0.13526864349842072</v>
      </c>
      <c r="F290" s="68">
        <v>125.24053955078125</v>
      </c>
      <c r="G290" s="84">
        <v>5.6765232235193253E-2</v>
      </c>
      <c r="H290" s="85">
        <v>10.890481948852539</v>
      </c>
    </row>
    <row r="291" spans="1:8" x14ac:dyDescent="0.2">
      <c r="A291" t="s">
        <v>462</v>
      </c>
      <c r="D291" s="68">
        <v>70.251991271972656</v>
      </c>
      <c r="E291" s="84">
        <v>0.82633841037750244</v>
      </c>
      <c r="F291" s="68">
        <v>765.07806396484375</v>
      </c>
      <c r="G291" s="84">
        <v>0.34677138924598694</v>
      </c>
      <c r="H291" s="85">
        <v>10.890481948852539</v>
      </c>
    </row>
    <row r="292" spans="1:8" x14ac:dyDescent="0.2">
      <c r="A292" t="s">
        <v>472</v>
      </c>
      <c r="D292" s="68">
        <v>0</v>
      </c>
      <c r="E292" s="84">
        <v>0</v>
      </c>
      <c r="F292" s="68">
        <v>1348.3828125</v>
      </c>
      <c r="G292" s="84">
        <v>0.61115407943725586</v>
      </c>
    </row>
    <row r="293" spans="1:8" x14ac:dyDescent="0.2">
      <c r="A293" t="s">
        <v>463</v>
      </c>
      <c r="D293" s="68">
        <v>81.751991271972656</v>
      </c>
      <c r="E293" s="84">
        <v>0.96160703897476196</v>
      </c>
      <c r="F293" s="68">
        <v>2238.701416015625</v>
      </c>
      <c r="G293" s="84">
        <v>1.014690637588501</v>
      </c>
      <c r="H293" s="85">
        <v>27.384059906005859</v>
      </c>
    </row>
    <row r="294" spans="1:8" x14ac:dyDescent="0.2">
      <c r="A294" t="s">
        <v>464</v>
      </c>
      <c r="D294" s="68">
        <v>6.2400002479553223</v>
      </c>
      <c r="E294" s="84">
        <v>7.339794933795929E-2</v>
      </c>
      <c r="F294" s="68">
        <v>0</v>
      </c>
      <c r="G294" s="84">
        <v>0</v>
      </c>
    </row>
    <row r="295" spans="1:8" x14ac:dyDescent="0.2">
      <c r="A295" t="s">
        <v>544</v>
      </c>
      <c r="D295" s="68">
        <v>-2.9760000705718994</v>
      </c>
      <c r="E295" s="84">
        <v>-3.5005174577236176E-2</v>
      </c>
      <c r="F295" s="68">
        <v>-32.410076141357422</v>
      </c>
      <c r="G295" s="84">
        <v>-1.4689856208860874E-2</v>
      </c>
      <c r="H295" s="85">
        <v>10.890481948852539</v>
      </c>
    </row>
    <row r="296" spans="1:8" x14ac:dyDescent="0.2">
      <c r="A296" t="s">
        <v>465</v>
      </c>
      <c r="D296" s="68">
        <v>1.5020370483398438E-5</v>
      </c>
      <c r="E296" s="84">
        <v>1.7667697704837337E-7</v>
      </c>
      <c r="F296" s="68">
        <v>-1.789093017578125E-3</v>
      </c>
      <c r="G296" s="84">
        <v>-8.1090581716125598E-7</v>
      </c>
    </row>
    <row r="298" spans="1:8" x14ac:dyDescent="0.2">
      <c r="A298" t="s">
        <v>473</v>
      </c>
      <c r="D298" s="86">
        <v>1.7792222499847412</v>
      </c>
      <c r="E298" t="s">
        <v>474</v>
      </c>
    </row>
    <row r="299" spans="1:8" x14ac:dyDescent="0.2">
      <c r="A299" t="s">
        <v>475</v>
      </c>
      <c r="D299" s="68">
        <v>8.2058324813842773</v>
      </c>
      <c r="E299" t="s">
        <v>476</v>
      </c>
    </row>
    <row r="300" spans="1:8" x14ac:dyDescent="0.2">
      <c r="A300" t="s">
        <v>477</v>
      </c>
      <c r="D300" s="68">
        <v>14.600000381469727</v>
      </c>
      <c r="E300" t="s">
        <v>478</v>
      </c>
    </row>
    <row r="302" spans="1:8" x14ac:dyDescent="0.2">
      <c r="A302" s="9" t="s">
        <v>162</v>
      </c>
      <c r="B302" s="9"/>
      <c r="C302" s="9" t="s">
        <v>274</v>
      </c>
      <c r="D302" s="9"/>
      <c r="E302" s="89" t="s">
        <v>520</v>
      </c>
      <c r="F302" s="69">
        <v>6</v>
      </c>
      <c r="G302" s="9" t="s">
        <v>529</v>
      </c>
      <c r="H302" s="9"/>
    </row>
    <row r="303" spans="1:8" x14ac:dyDescent="0.2">
      <c r="A303" s="9"/>
      <c r="B303" s="9"/>
      <c r="C303" s="9"/>
      <c r="D303" s="71" t="s">
        <v>161</v>
      </c>
      <c r="E303" s="71" t="s">
        <v>161</v>
      </c>
      <c r="F303" s="71" t="s">
        <v>85</v>
      </c>
      <c r="G303" s="71" t="s">
        <v>85</v>
      </c>
      <c r="H303" s="71" t="s">
        <v>164</v>
      </c>
    </row>
    <row r="304" spans="1:8" ht="14.25" x14ac:dyDescent="0.2">
      <c r="A304" s="73" t="s">
        <v>86</v>
      </c>
      <c r="B304" s="73" t="s">
        <v>159</v>
      </c>
      <c r="C304" s="74" t="s">
        <v>160</v>
      </c>
      <c r="D304" s="76" t="s">
        <v>185</v>
      </c>
      <c r="E304" s="75" t="s">
        <v>193</v>
      </c>
      <c r="F304" s="75" t="s">
        <v>163</v>
      </c>
      <c r="G304" s="75" t="s">
        <v>193</v>
      </c>
      <c r="H304" s="76" t="s">
        <v>189</v>
      </c>
    </row>
    <row r="305" spans="1:8" x14ac:dyDescent="0.2">
      <c r="A305" s="2">
        <v>36</v>
      </c>
      <c r="B305" s="2">
        <v>1</v>
      </c>
      <c r="C305" t="s">
        <v>578</v>
      </c>
      <c r="D305" s="68">
        <v>58</v>
      </c>
      <c r="E305" s="84">
        <v>0.68222445249557495</v>
      </c>
      <c r="F305" s="68">
        <v>14674</v>
      </c>
      <c r="G305" s="84">
        <v>0.73296844959259033</v>
      </c>
      <c r="H305" s="85">
        <v>253</v>
      </c>
    </row>
    <row r="306" spans="1:8" x14ac:dyDescent="0.2">
      <c r="A306" s="2">
        <v>37</v>
      </c>
      <c r="B306" s="2">
        <v>1</v>
      </c>
      <c r="C306" t="s">
        <v>579</v>
      </c>
      <c r="D306" s="68">
        <v>16</v>
      </c>
      <c r="E306" s="84">
        <v>0.18819984793663025</v>
      </c>
      <c r="F306" s="68">
        <v>4064</v>
      </c>
      <c r="G306" s="84">
        <v>0.20299740135669708</v>
      </c>
      <c r="H306" s="85">
        <v>254</v>
      </c>
    </row>
    <row r="307" spans="1:8" x14ac:dyDescent="0.2">
      <c r="A307" s="2">
        <v>38</v>
      </c>
      <c r="B307" s="2">
        <v>3</v>
      </c>
      <c r="C307" t="s">
        <v>580</v>
      </c>
      <c r="D307" s="68">
        <v>0.37999999523162842</v>
      </c>
      <c r="E307" s="84">
        <v>4.469746258109808E-3</v>
      </c>
      <c r="F307" s="68">
        <v>266</v>
      </c>
      <c r="G307" s="84">
        <v>1.3286739587783813E-2</v>
      </c>
      <c r="H307" s="85">
        <v>700</v>
      </c>
    </row>
    <row r="308" spans="1:8" x14ac:dyDescent="0.2">
      <c r="A308" s="2">
        <v>39</v>
      </c>
      <c r="B308" s="2">
        <v>3</v>
      </c>
      <c r="C308" t="s">
        <v>581</v>
      </c>
      <c r="D308" s="68">
        <v>0.41999998688697815</v>
      </c>
      <c r="E308" s="84">
        <v>4.9402462318539619E-3</v>
      </c>
      <c r="F308" s="68">
        <v>281.39999389648438</v>
      </c>
      <c r="G308" s="84">
        <v>1.4055971056222916E-2</v>
      </c>
      <c r="H308" s="85">
        <v>670</v>
      </c>
    </row>
    <row r="309" spans="1:8" x14ac:dyDescent="0.2">
      <c r="A309" s="2">
        <v>40</v>
      </c>
      <c r="B309" s="2">
        <v>3</v>
      </c>
      <c r="C309" t="s">
        <v>582</v>
      </c>
      <c r="D309" s="68">
        <v>1</v>
      </c>
      <c r="E309" s="84">
        <v>1.1762490496039391E-2</v>
      </c>
      <c r="F309" s="68">
        <v>580</v>
      </c>
      <c r="G309" s="84">
        <v>2.8971085324883461E-2</v>
      </c>
      <c r="H309" s="85">
        <v>580</v>
      </c>
    </row>
    <row r="310" spans="1:8" x14ac:dyDescent="0.2">
      <c r="A310" s="2">
        <v>71</v>
      </c>
      <c r="B310" s="2">
        <v>4</v>
      </c>
      <c r="C310" t="s">
        <v>583</v>
      </c>
      <c r="D310" s="68">
        <v>11.5</v>
      </c>
      <c r="E310" s="84">
        <v>0.13526864349842072</v>
      </c>
      <c r="F310" s="68">
        <v>199.26791381835938</v>
      </c>
      <c r="G310" s="84">
        <v>9.9534615874290466E-3</v>
      </c>
      <c r="H310" s="85">
        <v>17.327644348144531</v>
      </c>
    </row>
    <row r="311" spans="1:8" x14ac:dyDescent="0.2">
      <c r="A311" t="s">
        <v>457</v>
      </c>
      <c r="D311" s="68">
        <v>9.2160005569458008</v>
      </c>
      <c r="E311" s="84">
        <v>0.10840312391519547</v>
      </c>
      <c r="F311" s="68">
        <v>154.56001281738281</v>
      </c>
      <c r="G311" s="84">
        <v>7.7202953398227692E-3</v>
      </c>
      <c r="H311" s="85">
        <v>16.770833969116211</v>
      </c>
    </row>
    <row r="312" spans="1:8" x14ac:dyDescent="0.2">
      <c r="A312" t="s">
        <v>458</v>
      </c>
      <c r="D312" s="68">
        <v>74</v>
      </c>
      <c r="E312" s="84">
        <v>0.87042433023452759</v>
      </c>
      <c r="F312" s="68">
        <v>18738</v>
      </c>
      <c r="G312" s="84">
        <v>0.93596583604812622</v>
      </c>
      <c r="H312" s="85">
        <v>253.21621704101563</v>
      </c>
    </row>
    <row r="313" spans="1:8" x14ac:dyDescent="0.2">
      <c r="A313" t="s">
        <v>459</v>
      </c>
      <c r="D313" s="68">
        <v>1.7999999523162842</v>
      </c>
      <c r="E313" s="84">
        <v>2.1172482520341873E-2</v>
      </c>
      <c r="F313" s="68">
        <v>1127.39990234375</v>
      </c>
      <c r="G313" s="84">
        <v>5.6313790380954742E-2</v>
      </c>
      <c r="H313" s="85">
        <v>626.33331298828125</v>
      </c>
    </row>
    <row r="314" spans="1:8" x14ac:dyDescent="0.2">
      <c r="A314" t="s">
        <v>460</v>
      </c>
      <c r="D314" s="68">
        <v>85.016006469726563</v>
      </c>
      <c r="E314" s="84">
        <v>1</v>
      </c>
      <c r="F314" s="68">
        <v>20019.9609375</v>
      </c>
      <c r="G314" s="84">
        <v>1</v>
      </c>
      <c r="H314" s="85">
        <v>235.48460388183594</v>
      </c>
    </row>
    <row r="315" spans="1:8" x14ac:dyDescent="0.2">
      <c r="A315" t="s">
        <v>461</v>
      </c>
      <c r="D315" s="68">
        <v>11.5</v>
      </c>
      <c r="E315" s="84">
        <v>0.13526864349842072</v>
      </c>
      <c r="F315" s="68">
        <v>199.26791381835938</v>
      </c>
      <c r="G315" s="84">
        <v>9.9534615874290466E-3</v>
      </c>
      <c r="H315" s="85">
        <v>17.327644348144531</v>
      </c>
    </row>
    <row r="316" spans="1:8" x14ac:dyDescent="0.2">
      <c r="A316" t="s">
        <v>462</v>
      </c>
      <c r="D316" s="68">
        <v>70.251991271972656</v>
      </c>
      <c r="E316" s="84">
        <v>0.82633841037750244</v>
      </c>
      <c r="F316" s="68">
        <v>1217.301513671875</v>
      </c>
      <c r="G316" s="84">
        <v>6.0804389417171478E-2</v>
      </c>
      <c r="H316" s="85">
        <v>17.327644348144531</v>
      </c>
    </row>
    <row r="317" spans="1:8" x14ac:dyDescent="0.2">
      <c r="A317" t="s">
        <v>472</v>
      </c>
      <c r="D317" s="68">
        <v>0</v>
      </c>
      <c r="E317" s="84">
        <v>0</v>
      </c>
      <c r="F317" s="68">
        <v>14446.6953125</v>
      </c>
      <c r="G317" s="84">
        <v>0.7216145396232605</v>
      </c>
    </row>
    <row r="318" spans="1:8" x14ac:dyDescent="0.2">
      <c r="A318" t="s">
        <v>463</v>
      </c>
      <c r="D318" s="68">
        <v>81.751991271972656</v>
      </c>
      <c r="E318" s="84">
        <v>0.96160703897476196</v>
      </c>
      <c r="F318" s="68">
        <v>15863.2646484375</v>
      </c>
      <c r="G318" s="84">
        <v>0.79237240552902222</v>
      </c>
      <c r="H318" s="85">
        <v>194.04132080078125</v>
      </c>
    </row>
    <row r="319" spans="1:8" x14ac:dyDescent="0.2">
      <c r="A319" t="s">
        <v>464</v>
      </c>
      <c r="D319" s="68">
        <v>6.2400002479553223</v>
      </c>
      <c r="E319" s="84">
        <v>7.339794933795929E-2</v>
      </c>
      <c r="F319" s="68">
        <v>0</v>
      </c>
      <c r="G319" s="84">
        <v>0</v>
      </c>
    </row>
    <row r="320" spans="1:8" x14ac:dyDescent="0.2">
      <c r="A320" t="s">
        <v>544</v>
      </c>
      <c r="D320" s="68">
        <v>-2.9760000705718994</v>
      </c>
      <c r="E320" s="84">
        <v>-3.5005174577236176E-2</v>
      </c>
      <c r="F320" s="68">
        <v>-51.567070007324219</v>
      </c>
      <c r="G320" s="84">
        <v>-2.5757828261703253E-3</v>
      </c>
      <c r="H320" s="85">
        <v>17.327644348144531</v>
      </c>
    </row>
    <row r="321" spans="1:8" x14ac:dyDescent="0.2">
      <c r="A321" t="s">
        <v>465</v>
      </c>
      <c r="D321" s="68">
        <v>1.5020370483398438E-5</v>
      </c>
      <c r="E321" s="84">
        <v>1.7667697704837337E-7</v>
      </c>
      <c r="F321" s="68">
        <v>4208.26318359375</v>
      </c>
      <c r="G321" s="84">
        <v>0.21020336449146271</v>
      </c>
    </row>
    <row r="323" spans="1:8" x14ac:dyDescent="0.2">
      <c r="A323" t="s">
        <v>473</v>
      </c>
      <c r="D323" s="86">
        <v>1.7792222499847412</v>
      </c>
      <c r="E323" t="s">
        <v>474</v>
      </c>
    </row>
    <row r="324" spans="1:8" x14ac:dyDescent="0.2">
      <c r="A324" t="s">
        <v>475</v>
      </c>
      <c r="D324" s="68">
        <v>8.2058324813842773</v>
      </c>
      <c r="E324" t="s">
        <v>476</v>
      </c>
    </row>
    <row r="325" spans="1:8" x14ac:dyDescent="0.2">
      <c r="A325" t="s">
        <v>477</v>
      </c>
      <c r="D325" s="68">
        <v>14.600000381469727</v>
      </c>
      <c r="E325" t="s">
        <v>478</v>
      </c>
    </row>
    <row r="327" spans="1:8" x14ac:dyDescent="0.2">
      <c r="A327" s="9" t="s">
        <v>162</v>
      </c>
      <c r="B327" s="9"/>
      <c r="C327" s="9" t="s">
        <v>537</v>
      </c>
      <c r="D327" s="9"/>
      <c r="E327" s="89" t="s">
        <v>520</v>
      </c>
      <c r="F327" s="69">
        <v>7</v>
      </c>
      <c r="G327" s="9" t="s">
        <v>530</v>
      </c>
      <c r="H327" s="9"/>
    </row>
    <row r="328" spans="1:8" x14ac:dyDescent="0.2">
      <c r="A328" s="9"/>
      <c r="B328" s="9"/>
      <c r="C328" s="9"/>
      <c r="D328" s="71" t="s">
        <v>161</v>
      </c>
      <c r="E328" s="71" t="s">
        <v>161</v>
      </c>
      <c r="F328" s="71" t="s">
        <v>85</v>
      </c>
      <c r="G328" s="71" t="s">
        <v>85</v>
      </c>
      <c r="H328" s="71" t="s">
        <v>164</v>
      </c>
    </row>
    <row r="329" spans="1:8" ht="14.25" x14ac:dyDescent="0.2">
      <c r="A329" s="73" t="s">
        <v>86</v>
      </c>
      <c r="B329" s="73" t="s">
        <v>159</v>
      </c>
      <c r="C329" s="74" t="s">
        <v>160</v>
      </c>
      <c r="D329" s="76" t="s">
        <v>185</v>
      </c>
      <c r="E329" s="75" t="s">
        <v>193</v>
      </c>
      <c r="F329" s="75" t="s">
        <v>163</v>
      </c>
      <c r="G329" s="75" t="s">
        <v>193</v>
      </c>
      <c r="H329" s="76" t="s">
        <v>189</v>
      </c>
    </row>
    <row r="330" spans="1:8" x14ac:dyDescent="0.2">
      <c r="A330" s="2">
        <v>41</v>
      </c>
      <c r="B330" s="2">
        <v>1</v>
      </c>
      <c r="C330" t="s">
        <v>584</v>
      </c>
      <c r="D330" s="68">
        <v>1.2999999523162842</v>
      </c>
      <c r="E330" s="84">
        <v>0.10851418972015381</v>
      </c>
      <c r="F330" s="68">
        <v>35.099998474121094</v>
      </c>
      <c r="G330" s="84">
        <v>5.867425724864006E-2</v>
      </c>
      <c r="H330" s="85">
        <v>27</v>
      </c>
    </row>
    <row r="331" spans="1:8" x14ac:dyDescent="0.2">
      <c r="A331" s="2">
        <v>42</v>
      </c>
      <c r="B331" s="2">
        <v>3</v>
      </c>
      <c r="C331" t="s">
        <v>585</v>
      </c>
      <c r="D331" s="68">
        <v>5.4000000953674316</v>
      </c>
      <c r="E331" s="84">
        <v>0.45075127482414246</v>
      </c>
      <c r="F331" s="68">
        <v>561.60003662109375</v>
      </c>
      <c r="G331" s="84">
        <v>0.93878823518753052</v>
      </c>
      <c r="H331" s="85">
        <v>104</v>
      </c>
    </row>
    <row r="332" spans="1:8" x14ac:dyDescent="0.2">
      <c r="A332" t="s">
        <v>457</v>
      </c>
      <c r="D332" s="68">
        <v>5.2799997329711914</v>
      </c>
      <c r="E332" s="84">
        <v>0.44073456525802612</v>
      </c>
      <c r="F332" s="68">
        <v>1.5180000066757202</v>
      </c>
      <c r="G332" s="84">
        <v>2.5375364348292351E-3</v>
      </c>
      <c r="H332" s="85">
        <v>0.28750002384185791</v>
      </c>
    </row>
    <row r="333" spans="1:8" x14ac:dyDescent="0.2">
      <c r="A333" t="s">
        <v>458</v>
      </c>
      <c r="D333" s="68">
        <v>1.2999999523162842</v>
      </c>
      <c r="E333" s="84">
        <v>0.10851418972015381</v>
      </c>
      <c r="F333" s="68">
        <v>35.099998474121094</v>
      </c>
      <c r="G333" s="84">
        <v>5.867425724864006E-2</v>
      </c>
      <c r="H333" s="85">
        <v>27</v>
      </c>
    </row>
    <row r="334" spans="1:8" x14ac:dyDescent="0.2">
      <c r="A334" t="s">
        <v>459</v>
      </c>
      <c r="D334" s="68">
        <v>5.4000000953674316</v>
      </c>
      <c r="E334" s="84">
        <v>0.45075127482414246</v>
      </c>
      <c r="F334" s="68">
        <v>561.60003662109375</v>
      </c>
      <c r="G334" s="84">
        <v>0.93878823518753052</v>
      </c>
      <c r="H334" s="85">
        <v>104.00000762939453</v>
      </c>
    </row>
    <row r="335" spans="1:8" x14ac:dyDescent="0.2">
      <c r="A335" t="s">
        <v>460</v>
      </c>
      <c r="D335" s="68">
        <v>11.979999542236328</v>
      </c>
      <c r="E335" s="84">
        <v>1</v>
      </c>
      <c r="F335" s="68">
        <v>598.218017578125</v>
      </c>
      <c r="G335" s="84">
        <v>1</v>
      </c>
      <c r="H335" s="85">
        <v>49.934726715087891</v>
      </c>
    </row>
    <row r="336" spans="1:8" x14ac:dyDescent="0.2">
      <c r="A336" t="s">
        <v>462</v>
      </c>
      <c r="D336" s="68">
        <v>10.110000610351563</v>
      </c>
      <c r="E336" s="84">
        <v>0.84390658140182495</v>
      </c>
      <c r="F336" s="68">
        <v>108.99073028564453</v>
      </c>
      <c r="G336" s="84">
        <v>0.18219232559204102</v>
      </c>
      <c r="H336" s="85">
        <v>10.780487060546875</v>
      </c>
    </row>
    <row r="337" spans="1:8" x14ac:dyDescent="0.2">
      <c r="A337" t="s">
        <v>472</v>
      </c>
      <c r="D337" s="68">
        <v>0</v>
      </c>
      <c r="E337" s="84">
        <v>0</v>
      </c>
      <c r="F337" s="68">
        <v>507.611328125</v>
      </c>
      <c r="G337" s="84">
        <v>0.84853899478912354</v>
      </c>
    </row>
    <row r="338" spans="1:8" x14ac:dyDescent="0.2">
      <c r="A338" t="s">
        <v>463</v>
      </c>
      <c r="D338" s="68">
        <v>10.110000610351563</v>
      </c>
      <c r="E338" s="84">
        <v>0.84390658140182495</v>
      </c>
      <c r="F338" s="68">
        <v>616.60205078125</v>
      </c>
      <c r="G338" s="84">
        <v>1.0307313203811646</v>
      </c>
      <c r="H338" s="85">
        <v>60.98931884765625</v>
      </c>
    </row>
    <row r="339" spans="1:8" x14ac:dyDescent="0.2">
      <c r="A339" t="s">
        <v>464</v>
      </c>
      <c r="D339" s="68">
        <v>3.5749998092651367</v>
      </c>
      <c r="E339" s="84">
        <v>0.29841402173042297</v>
      </c>
      <c r="F339" s="68">
        <v>0</v>
      </c>
      <c r="G339" s="84">
        <v>0</v>
      </c>
    </row>
    <row r="340" spans="1:8" x14ac:dyDescent="0.2">
      <c r="A340" t="s">
        <v>544</v>
      </c>
      <c r="D340" s="68">
        <v>-1.7050000429153442</v>
      </c>
      <c r="E340" s="84">
        <v>-0.14232054352760315</v>
      </c>
      <c r="F340" s="68">
        <v>-18.380731582641602</v>
      </c>
      <c r="G340" s="84">
        <v>-3.0725806951522827E-2</v>
      </c>
      <c r="H340" s="85">
        <v>10.780487060546875</v>
      </c>
    </row>
    <row r="341" spans="1:8" x14ac:dyDescent="0.2">
      <c r="A341" t="s">
        <v>465</v>
      </c>
      <c r="D341" s="68">
        <v>-8.3446502685546875E-7</v>
      </c>
      <c r="E341" s="84">
        <v>-6.9654845447075786E-8</v>
      </c>
      <c r="F341" s="68">
        <v>-3.3016204833984375E-3</v>
      </c>
      <c r="G341" s="84">
        <v>-5.5190921557368711E-6</v>
      </c>
    </row>
    <row r="343" spans="1:8" x14ac:dyDescent="0.2">
      <c r="A343" t="s">
        <v>473</v>
      </c>
      <c r="D343" s="86">
        <v>7.4598441123962402</v>
      </c>
      <c r="E343" t="s">
        <v>474</v>
      </c>
    </row>
    <row r="344" spans="1:8" x14ac:dyDescent="0.2">
      <c r="A344" t="s">
        <v>475</v>
      </c>
      <c r="D344" s="68">
        <v>1.5281819105148315</v>
      </c>
      <c r="E344" t="s">
        <v>476</v>
      </c>
    </row>
    <row r="345" spans="1:8" x14ac:dyDescent="0.2">
      <c r="A345" t="s">
        <v>477</v>
      </c>
      <c r="D345" s="68">
        <v>11.399999618530273</v>
      </c>
      <c r="E345" t="s">
        <v>478</v>
      </c>
    </row>
    <row r="347" spans="1:8" x14ac:dyDescent="0.2">
      <c r="A347" s="9" t="s">
        <v>162</v>
      </c>
      <c r="B347" s="9"/>
      <c r="C347" s="9" t="s">
        <v>274</v>
      </c>
      <c r="D347" s="9"/>
      <c r="E347" s="89" t="s">
        <v>520</v>
      </c>
      <c r="F347" s="69">
        <v>7</v>
      </c>
      <c r="G347" s="9" t="s">
        <v>530</v>
      </c>
      <c r="H347" s="9"/>
    </row>
    <row r="348" spans="1:8" x14ac:dyDescent="0.2">
      <c r="A348" s="9"/>
      <c r="B348" s="9"/>
      <c r="C348" s="9"/>
      <c r="D348" s="71" t="s">
        <v>161</v>
      </c>
      <c r="E348" s="71" t="s">
        <v>161</v>
      </c>
      <c r="F348" s="71" t="s">
        <v>85</v>
      </c>
      <c r="G348" s="71" t="s">
        <v>85</v>
      </c>
      <c r="H348" s="71" t="s">
        <v>164</v>
      </c>
    </row>
    <row r="349" spans="1:8" ht="14.25" x14ac:dyDescent="0.2">
      <c r="A349" s="73" t="s">
        <v>86</v>
      </c>
      <c r="B349" s="73" t="s">
        <v>159</v>
      </c>
      <c r="C349" s="74" t="s">
        <v>160</v>
      </c>
      <c r="D349" s="76" t="s">
        <v>185</v>
      </c>
      <c r="E349" s="75" t="s">
        <v>193</v>
      </c>
      <c r="F349" s="75" t="s">
        <v>163</v>
      </c>
      <c r="G349" s="75" t="s">
        <v>193</v>
      </c>
      <c r="H349" s="76" t="s">
        <v>189</v>
      </c>
    </row>
    <row r="350" spans="1:8" x14ac:dyDescent="0.2">
      <c r="A350" s="2">
        <v>41</v>
      </c>
      <c r="B350" s="2">
        <v>1</v>
      </c>
      <c r="C350" t="s">
        <v>584</v>
      </c>
      <c r="D350" s="68">
        <v>1.2999999523162842</v>
      </c>
      <c r="E350" s="84">
        <v>0.10851418972015381</v>
      </c>
      <c r="F350" s="68">
        <v>330.19998168945313</v>
      </c>
      <c r="G350" s="84">
        <v>2.7825646102428436E-2</v>
      </c>
      <c r="H350" s="85">
        <v>254</v>
      </c>
    </row>
    <row r="351" spans="1:8" x14ac:dyDescent="0.2">
      <c r="A351" s="2">
        <v>42</v>
      </c>
      <c r="B351" s="2">
        <v>3</v>
      </c>
      <c r="C351" t="s">
        <v>585</v>
      </c>
      <c r="D351" s="68">
        <v>5.4000000953674316</v>
      </c>
      <c r="E351" s="84">
        <v>0.45075127482414246</v>
      </c>
      <c r="F351" s="68">
        <v>11448</v>
      </c>
      <c r="G351" s="84">
        <v>0.96471232175827026</v>
      </c>
      <c r="H351" s="85">
        <v>2120</v>
      </c>
    </row>
    <row r="352" spans="1:8" x14ac:dyDescent="0.2">
      <c r="A352" t="s">
        <v>457</v>
      </c>
      <c r="D352" s="68">
        <v>5.2799997329711914</v>
      </c>
      <c r="E352" s="84">
        <v>0.44073456525802612</v>
      </c>
      <c r="F352" s="68">
        <v>88.550003051757813</v>
      </c>
      <c r="G352" s="84">
        <v>7.4620265513658524E-3</v>
      </c>
      <c r="H352" s="85">
        <v>16.770833969116211</v>
      </c>
    </row>
    <row r="353" spans="1:8" x14ac:dyDescent="0.2">
      <c r="A353" t="s">
        <v>458</v>
      </c>
      <c r="D353" s="68">
        <v>1.2999999523162842</v>
      </c>
      <c r="E353" s="84">
        <v>0.10851418972015381</v>
      </c>
      <c r="F353" s="68">
        <v>330.19998168945313</v>
      </c>
      <c r="G353" s="84">
        <v>2.7825646102428436E-2</v>
      </c>
      <c r="H353" s="85">
        <v>254</v>
      </c>
    </row>
    <row r="354" spans="1:8" x14ac:dyDescent="0.2">
      <c r="A354" t="s">
        <v>459</v>
      </c>
      <c r="D354" s="68">
        <v>5.4000000953674316</v>
      </c>
      <c r="E354" s="84">
        <v>0.45075127482414246</v>
      </c>
      <c r="F354" s="68">
        <v>11448</v>
      </c>
      <c r="G354" s="84">
        <v>0.96471232175827026</v>
      </c>
      <c r="H354" s="85">
        <v>2120</v>
      </c>
    </row>
    <row r="355" spans="1:8" x14ac:dyDescent="0.2">
      <c r="A355" t="s">
        <v>460</v>
      </c>
      <c r="D355" s="68">
        <v>11.979999542236328</v>
      </c>
      <c r="E355" s="84">
        <v>1</v>
      </c>
      <c r="F355" s="68">
        <v>11866.75</v>
      </c>
      <c r="G355" s="84">
        <v>1</v>
      </c>
      <c r="H355" s="85">
        <v>990.5467529296875</v>
      </c>
    </row>
    <row r="356" spans="1:8" x14ac:dyDescent="0.2">
      <c r="A356" t="s">
        <v>462</v>
      </c>
      <c r="D356" s="68">
        <v>10.110000610351563</v>
      </c>
      <c r="E356" s="84">
        <v>0.84390658140182495</v>
      </c>
      <c r="F356" s="68">
        <v>177.953857421875</v>
      </c>
      <c r="G356" s="84">
        <v>1.4996006153523922E-2</v>
      </c>
      <c r="H356" s="85">
        <v>17.601764678955078</v>
      </c>
    </row>
    <row r="357" spans="1:8" x14ac:dyDescent="0.2">
      <c r="A357" t="s">
        <v>472</v>
      </c>
      <c r="D357" s="68">
        <v>0</v>
      </c>
      <c r="E357" s="84">
        <v>0</v>
      </c>
      <c r="F357" s="68">
        <v>9776.22265625</v>
      </c>
      <c r="G357" s="84">
        <v>0.82383322715759277</v>
      </c>
    </row>
    <row r="358" spans="1:8" x14ac:dyDescent="0.2">
      <c r="A358" t="s">
        <v>463</v>
      </c>
      <c r="D358" s="68">
        <v>10.110000610351563</v>
      </c>
      <c r="E358" s="84">
        <v>0.84390658140182495</v>
      </c>
      <c r="F358" s="68">
        <v>9954.1767578125</v>
      </c>
      <c r="G358" s="84">
        <v>0.83882921934127808</v>
      </c>
      <c r="H358" s="85">
        <v>984.587158203125</v>
      </c>
    </row>
    <row r="359" spans="1:8" x14ac:dyDescent="0.2">
      <c r="A359" t="s">
        <v>464</v>
      </c>
      <c r="D359" s="68">
        <v>3.5749998092651367</v>
      </c>
      <c r="E359" s="84">
        <v>0.29841402173042297</v>
      </c>
      <c r="F359" s="68">
        <v>0</v>
      </c>
      <c r="G359" s="84">
        <v>0</v>
      </c>
    </row>
    <row r="360" spans="1:8" x14ac:dyDescent="0.2">
      <c r="A360" t="s">
        <v>544</v>
      </c>
      <c r="D360" s="68">
        <v>-1.7050000429153442</v>
      </c>
      <c r="E360" s="84">
        <v>-0.14232054352760315</v>
      </c>
      <c r="F360" s="68">
        <v>-30.011009216308594</v>
      </c>
      <c r="G360" s="84">
        <v>-2.5289999321103096E-3</v>
      </c>
      <c r="H360" s="85">
        <v>17.601764678955078</v>
      </c>
    </row>
    <row r="361" spans="1:8" x14ac:dyDescent="0.2">
      <c r="A361" t="s">
        <v>465</v>
      </c>
      <c r="D361" s="68">
        <v>-8.3446502685546875E-7</v>
      </c>
      <c r="E361" s="84">
        <v>-6.9654845447075786E-8</v>
      </c>
      <c r="F361" s="68">
        <v>1942.584228515625</v>
      </c>
      <c r="G361" s="84">
        <v>0.16369977593421936</v>
      </c>
    </row>
    <row r="363" spans="1:8" x14ac:dyDescent="0.2">
      <c r="A363" t="s">
        <v>473</v>
      </c>
      <c r="D363" s="86">
        <v>7.4598441123962402</v>
      </c>
      <c r="E363" t="s">
        <v>474</v>
      </c>
    </row>
    <row r="364" spans="1:8" x14ac:dyDescent="0.2">
      <c r="A364" t="s">
        <v>475</v>
      </c>
      <c r="D364" s="68">
        <v>1.5281819105148315</v>
      </c>
      <c r="E364" t="s">
        <v>476</v>
      </c>
    </row>
    <row r="365" spans="1:8" x14ac:dyDescent="0.2">
      <c r="A365" t="s">
        <v>477</v>
      </c>
      <c r="D365" s="68">
        <v>11.399999618530273</v>
      </c>
      <c r="E365" t="s">
        <v>478</v>
      </c>
    </row>
    <row r="367" spans="1:8" x14ac:dyDescent="0.2">
      <c r="A367" s="9" t="s">
        <v>162</v>
      </c>
      <c r="B367" s="9"/>
      <c r="C367" s="9" t="s">
        <v>537</v>
      </c>
      <c r="D367" s="9"/>
      <c r="E367" s="89" t="s">
        <v>520</v>
      </c>
      <c r="F367" s="69">
        <v>8</v>
      </c>
      <c r="G367" s="9" t="s">
        <v>531</v>
      </c>
      <c r="H367" s="9"/>
    </row>
    <row r="368" spans="1:8" x14ac:dyDescent="0.2">
      <c r="A368" s="9"/>
      <c r="B368" s="9"/>
      <c r="C368" s="9"/>
      <c r="D368" s="71" t="s">
        <v>161</v>
      </c>
      <c r="E368" s="71" t="s">
        <v>161</v>
      </c>
      <c r="F368" s="71" t="s">
        <v>85</v>
      </c>
      <c r="G368" s="71" t="s">
        <v>85</v>
      </c>
      <c r="H368" s="71" t="s">
        <v>164</v>
      </c>
    </row>
    <row r="369" spans="1:8" ht="14.25" x14ac:dyDescent="0.2">
      <c r="A369" s="73" t="s">
        <v>86</v>
      </c>
      <c r="B369" s="73" t="s">
        <v>159</v>
      </c>
      <c r="C369" s="74" t="s">
        <v>160</v>
      </c>
      <c r="D369" s="76" t="s">
        <v>185</v>
      </c>
      <c r="E369" s="75" t="s">
        <v>193</v>
      </c>
      <c r="F369" s="75" t="s">
        <v>163</v>
      </c>
      <c r="G369" s="75" t="s">
        <v>193</v>
      </c>
      <c r="H369" s="76" t="s">
        <v>189</v>
      </c>
    </row>
    <row r="370" spans="1:8" x14ac:dyDescent="0.2">
      <c r="A370" s="2">
        <v>43</v>
      </c>
      <c r="B370" s="2">
        <v>1</v>
      </c>
      <c r="C370" t="s">
        <v>586</v>
      </c>
      <c r="D370" s="68">
        <v>877</v>
      </c>
      <c r="E370" s="84">
        <v>0.91654330492019653</v>
      </c>
      <c r="F370" s="68">
        <v>4735.80029296875</v>
      </c>
      <c r="G370" s="84">
        <v>0.48968738317489624</v>
      </c>
      <c r="H370" s="85">
        <v>5.4000000953674316</v>
      </c>
    </row>
    <row r="371" spans="1:8" x14ac:dyDescent="0.2">
      <c r="A371" s="2">
        <v>44</v>
      </c>
      <c r="B371" s="2">
        <v>1</v>
      </c>
      <c r="C371" t="s">
        <v>587</v>
      </c>
      <c r="D371" s="68">
        <v>58</v>
      </c>
      <c r="E371" s="84">
        <v>6.0615181922912598E-2</v>
      </c>
      <c r="F371" s="68">
        <v>301.5999755859375</v>
      </c>
      <c r="G371" s="84">
        <v>3.1185796484351158E-2</v>
      </c>
      <c r="H371" s="85">
        <v>5.1999998092651367</v>
      </c>
    </row>
    <row r="372" spans="1:8" x14ac:dyDescent="0.2">
      <c r="A372" s="2">
        <v>45</v>
      </c>
      <c r="B372" s="2">
        <v>3</v>
      </c>
      <c r="C372" t="s">
        <v>588</v>
      </c>
      <c r="D372" s="68">
        <v>11.5</v>
      </c>
      <c r="E372" s="84">
        <v>1.2018526904284954E-2</v>
      </c>
      <c r="F372" s="68">
        <v>874</v>
      </c>
      <c r="G372" s="84">
        <v>9.0372644364833832E-2</v>
      </c>
      <c r="H372" s="85">
        <v>76</v>
      </c>
    </row>
    <row r="373" spans="1:8" x14ac:dyDescent="0.2">
      <c r="A373" s="2">
        <v>46</v>
      </c>
      <c r="B373" s="2">
        <v>3</v>
      </c>
      <c r="C373" t="s">
        <v>589</v>
      </c>
      <c r="D373" s="68">
        <v>0.18000000715255737</v>
      </c>
      <c r="E373" s="84">
        <v>1.8811608606483787E-4</v>
      </c>
      <c r="F373" s="68">
        <v>27.000001907348633</v>
      </c>
      <c r="G373" s="84">
        <v>2.7918324340134859E-3</v>
      </c>
      <c r="H373" s="85">
        <v>150</v>
      </c>
    </row>
    <row r="374" spans="1:8" x14ac:dyDescent="0.2">
      <c r="A374" t="s">
        <v>457</v>
      </c>
      <c r="D374" s="68">
        <v>10.176000595092773</v>
      </c>
      <c r="E374" s="84">
        <v>1.0634829290211201E-2</v>
      </c>
      <c r="F374" s="68">
        <v>2.9256000518798828</v>
      </c>
      <c r="G374" s="84">
        <v>3.025105397682637E-4</v>
      </c>
      <c r="H374" s="85">
        <v>0.28749999403953552</v>
      </c>
    </row>
    <row r="375" spans="1:8" x14ac:dyDescent="0.2">
      <c r="A375" t="s">
        <v>458</v>
      </c>
      <c r="D375" s="68">
        <v>935</v>
      </c>
      <c r="E375" s="84">
        <v>0.97715848684310913</v>
      </c>
      <c r="F375" s="68">
        <v>5037.400390625</v>
      </c>
      <c r="G375" s="84">
        <v>0.52087318897247314</v>
      </c>
      <c r="H375" s="85">
        <v>5.3875942230224609</v>
      </c>
    </row>
    <row r="376" spans="1:8" x14ac:dyDescent="0.2">
      <c r="A376" t="s">
        <v>459</v>
      </c>
      <c r="D376" s="68">
        <v>11.680000305175781</v>
      </c>
      <c r="E376" s="84">
        <v>1.220664381980896E-2</v>
      </c>
      <c r="F376" s="68">
        <v>901</v>
      </c>
      <c r="G376" s="84">
        <v>9.316447377204895E-2</v>
      </c>
      <c r="H376" s="85">
        <v>77.140411376953125</v>
      </c>
    </row>
    <row r="377" spans="1:8" x14ac:dyDescent="0.2">
      <c r="A377" t="s">
        <v>480</v>
      </c>
      <c r="D377" s="68">
        <v>0</v>
      </c>
      <c r="E377" s="84">
        <v>0</v>
      </c>
      <c r="F377" s="68">
        <v>3729.7421875</v>
      </c>
      <c r="G377" s="84">
        <v>0.38565978407859802</v>
      </c>
    </row>
    <row r="378" spans="1:8" x14ac:dyDescent="0.2">
      <c r="A378" t="s">
        <v>460</v>
      </c>
      <c r="D378" s="68">
        <v>956.85601806640625</v>
      </c>
      <c r="E378" s="84">
        <v>1</v>
      </c>
      <c r="F378" s="68">
        <v>9671.068359375</v>
      </c>
      <c r="G378" s="84">
        <v>1</v>
      </c>
      <c r="H378" s="85">
        <v>10.10713005065918</v>
      </c>
    </row>
    <row r="379" spans="1:8" x14ac:dyDescent="0.2">
      <c r="A379" t="s">
        <v>462</v>
      </c>
      <c r="D379" s="68">
        <v>953.25201416015625</v>
      </c>
      <c r="E379" s="84">
        <v>0.99623352289199829</v>
      </c>
      <c r="F379" s="68">
        <v>9704.5302734375</v>
      </c>
      <c r="G379" s="84">
        <v>1.0034600496292114</v>
      </c>
      <c r="H379" s="85">
        <v>10.180445671081543</v>
      </c>
    </row>
    <row r="380" spans="1:8" x14ac:dyDescent="0.2">
      <c r="A380" t="s">
        <v>463</v>
      </c>
      <c r="D380" s="68">
        <v>953.25201416015625</v>
      </c>
      <c r="E380" s="84">
        <v>0.99623352289199829</v>
      </c>
      <c r="F380" s="68">
        <v>9704.5302734375</v>
      </c>
      <c r="G380" s="84">
        <v>1.0034600496292114</v>
      </c>
      <c r="H380" s="85">
        <v>10.180445671081543</v>
      </c>
    </row>
    <row r="381" spans="1:8" x14ac:dyDescent="0.2">
      <c r="A381" t="s">
        <v>464</v>
      </c>
      <c r="D381" s="68">
        <v>6.8899998664855957</v>
      </c>
      <c r="E381" s="84">
        <v>7.2006653062999249E-3</v>
      </c>
      <c r="F381" s="68">
        <v>0</v>
      </c>
      <c r="G381" s="84">
        <v>0</v>
      </c>
    </row>
    <row r="382" spans="1:8" x14ac:dyDescent="0.2">
      <c r="A382" t="s">
        <v>544</v>
      </c>
      <c r="D382" s="68">
        <v>-3.2860002517700195</v>
      </c>
      <c r="E382" s="84">
        <v>-3.4341637510806322E-3</v>
      </c>
      <c r="F382" s="68">
        <v>-33.452945709228516</v>
      </c>
      <c r="G382" s="84">
        <v>-3.4590745344758034E-3</v>
      </c>
      <c r="H382" s="85">
        <v>10.180445671081543</v>
      </c>
    </row>
    <row r="383" spans="1:8" x14ac:dyDescent="0.2">
      <c r="A383" t="s">
        <v>465</v>
      </c>
      <c r="D383" s="68">
        <v>4.291534423828125E-6</v>
      </c>
      <c r="E383" s="84">
        <v>4.4850367864057716E-9</v>
      </c>
      <c r="F383" s="68">
        <v>-8.968353271484375E-3</v>
      </c>
      <c r="G383" s="84">
        <v>-9.2733841938752448E-7</v>
      </c>
    </row>
    <row r="385" spans="1:8" x14ac:dyDescent="0.2">
      <c r="A385" t="s">
        <v>473</v>
      </c>
      <c r="D385" s="86">
        <v>6.5833933651447296E-2</v>
      </c>
      <c r="E385" t="s">
        <v>474</v>
      </c>
    </row>
    <row r="386" spans="1:8" x14ac:dyDescent="0.2">
      <c r="A386" t="s">
        <v>475</v>
      </c>
      <c r="D386" s="68">
        <v>89.619430541992188</v>
      </c>
      <c r="E386" t="s">
        <v>476</v>
      </c>
    </row>
    <row r="387" spans="1:8" x14ac:dyDescent="0.2">
      <c r="A387" t="s">
        <v>477</v>
      </c>
      <c r="D387" s="68">
        <v>5.9000000953674316</v>
      </c>
      <c r="E387" t="s">
        <v>478</v>
      </c>
    </row>
    <row r="389" spans="1:8" x14ac:dyDescent="0.2">
      <c r="A389" s="9" t="s">
        <v>162</v>
      </c>
      <c r="B389" s="9"/>
      <c r="C389" s="9" t="s">
        <v>274</v>
      </c>
      <c r="D389" s="9"/>
      <c r="E389" s="89" t="s">
        <v>520</v>
      </c>
      <c r="F389" s="69">
        <v>8</v>
      </c>
      <c r="G389" s="9" t="s">
        <v>531</v>
      </c>
      <c r="H389" s="9"/>
    </row>
    <row r="390" spans="1:8" x14ac:dyDescent="0.2">
      <c r="A390" s="9"/>
      <c r="B390" s="9"/>
      <c r="C390" s="9"/>
      <c r="D390" s="71" t="s">
        <v>161</v>
      </c>
      <c r="E390" s="71" t="s">
        <v>161</v>
      </c>
      <c r="F390" s="71" t="s">
        <v>85</v>
      </c>
      <c r="G390" s="71" t="s">
        <v>85</v>
      </c>
      <c r="H390" s="71" t="s">
        <v>164</v>
      </c>
    </row>
    <row r="391" spans="1:8" ht="14.25" x14ac:dyDescent="0.2">
      <c r="A391" s="73" t="s">
        <v>86</v>
      </c>
      <c r="B391" s="73" t="s">
        <v>159</v>
      </c>
      <c r="C391" s="74" t="s">
        <v>160</v>
      </c>
      <c r="D391" s="76" t="s">
        <v>185</v>
      </c>
      <c r="E391" s="75" t="s">
        <v>193</v>
      </c>
      <c r="F391" s="75" t="s">
        <v>163</v>
      </c>
      <c r="G391" s="75" t="s">
        <v>193</v>
      </c>
      <c r="H391" s="76" t="s">
        <v>189</v>
      </c>
    </row>
    <row r="392" spans="1:8" x14ac:dyDescent="0.2">
      <c r="A392" s="2">
        <v>43</v>
      </c>
      <c r="B392" s="2">
        <v>1</v>
      </c>
      <c r="C392" t="s">
        <v>586</v>
      </c>
      <c r="D392" s="68">
        <v>877</v>
      </c>
      <c r="E392" s="84">
        <v>0.91654330492019653</v>
      </c>
      <c r="F392" s="68">
        <v>19294</v>
      </c>
      <c r="G392" s="84">
        <v>0.47076606750488281</v>
      </c>
      <c r="H392" s="85">
        <v>22</v>
      </c>
    </row>
    <row r="393" spans="1:8" x14ac:dyDescent="0.2">
      <c r="A393" s="2">
        <v>44</v>
      </c>
      <c r="B393" s="2">
        <v>1</v>
      </c>
      <c r="C393" t="s">
        <v>587</v>
      </c>
      <c r="D393" s="68">
        <v>58</v>
      </c>
      <c r="E393" s="84">
        <v>6.0615181922912598E-2</v>
      </c>
      <c r="F393" s="68">
        <v>1218</v>
      </c>
      <c r="G393" s="84">
        <v>2.9718725010752678E-2</v>
      </c>
      <c r="H393" s="85">
        <v>21</v>
      </c>
    </row>
    <row r="394" spans="1:8" x14ac:dyDescent="0.2">
      <c r="A394" s="2">
        <v>45</v>
      </c>
      <c r="B394" s="2">
        <v>3</v>
      </c>
      <c r="C394" t="s">
        <v>588</v>
      </c>
      <c r="D394" s="68">
        <v>11.5</v>
      </c>
      <c r="E394" s="84">
        <v>1.2018526904284954E-2</v>
      </c>
      <c r="F394" s="68">
        <v>20010</v>
      </c>
      <c r="G394" s="84">
        <v>0.4882361888885498</v>
      </c>
      <c r="H394" s="85">
        <v>1740</v>
      </c>
    </row>
    <row r="395" spans="1:8" x14ac:dyDescent="0.2">
      <c r="A395" s="2">
        <v>46</v>
      </c>
      <c r="B395" s="2">
        <v>3</v>
      </c>
      <c r="C395" t="s">
        <v>589</v>
      </c>
      <c r="D395" s="68">
        <v>0.18000000715255737</v>
      </c>
      <c r="E395" s="84">
        <v>1.8811608606483787E-4</v>
      </c>
      <c r="F395" s="68">
        <v>291.60000610351563</v>
      </c>
      <c r="G395" s="84">
        <v>7.114926353096962E-3</v>
      </c>
      <c r="H395" s="85">
        <v>1620</v>
      </c>
    </row>
    <row r="396" spans="1:8" x14ac:dyDescent="0.2">
      <c r="A396" t="s">
        <v>457</v>
      </c>
      <c r="D396" s="68">
        <v>10.176000595092773</v>
      </c>
      <c r="E396" s="84">
        <v>1.0634829290211201E-2</v>
      </c>
      <c r="F396" s="68">
        <v>170.66000366210938</v>
      </c>
      <c r="G396" s="84">
        <v>4.1640372946858406E-3</v>
      </c>
      <c r="H396" s="85">
        <v>16.770832061767578</v>
      </c>
    </row>
    <row r="397" spans="1:8" x14ac:dyDescent="0.2">
      <c r="A397" t="s">
        <v>458</v>
      </c>
      <c r="D397" s="68">
        <v>935</v>
      </c>
      <c r="E397" s="84">
        <v>0.97715848684310913</v>
      </c>
      <c r="F397" s="68">
        <v>20512</v>
      </c>
      <c r="G397" s="84">
        <v>0.50048482418060303</v>
      </c>
      <c r="H397" s="85">
        <v>21.937967300415039</v>
      </c>
    </row>
    <row r="398" spans="1:8" x14ac:dyDescent="0.2">
      <c r="A398" t="s">
        <v>459</v>
      </c>
      <c r="D398" s="68">
        <v>11.680000305175781</v>
      </c>
      <c r="E398" s="84">
        <v>1.220664381980896E-2</v>
      </c>
      <c r="F398" s="68">
        <v>20301.599609375</v>
      </c>
      <c r="G398" s="84">
        <v>0.49535110592842102</v>
      </c>
      <c r="H398" s="85">
        <v>1738.150634765625</v>
      </c>
    </row>
    <row r="399" spans="1:8" x14ac:dyDescent="0.2">
      <c r="A399" t="s">
        <v>460</v>
      </c>
      <c r="D399" s="68">
        <v>956.85601806640625</v>
      </c>
      <c r="E399" s="84">
        <v>1</v>
      </c>
      <c r="F399" s="68">
        <v>40984.26171875</v>
      </c>
      <c r="G399" s="84">
        <v>1</v>
      </c>
      <c r="H399" s="85">
        <v>42.83221435546875</v>
      </c>
    </row>
    <row r="400" spans="1:8" x14ac:dyDescent="0.2">
      <c r="A400" t="s">
        <v>462</v>
      </c>
      <c r="D400" s="68">
        <v>953.25201416015625</v>
      </c>
      <c r="E400" s="84">
        <v>0.99623352289199829</v>
      </c>
      <c r="F400" s="68">
        <v>16190.9638671875</v>
      </c>
      <c r="G400" s="84">
        <v>0.3950532078742981</v>
      </c>
      <c r="H400" s="85">
        <v>16.984977722167969</v>
      </c>
    </row>
    <row r="401" spans="1:8" x14ac:dyDescent="0.2">
      <c r="A401" t="s">
        <v>472</v>
      </c>
      <c r="D401" s="68">
        <v>0</v>
      </c>
      <c r="E401" s="84">
        <v>0</v>
      </c>
      <c r="F401" s="68">
        <v>23044.8984375</v>
      </c>
      <c r="G401" s="84">
        <v>0.56228655576705933</v>
      </c>
    </row>
    <row r="402" spans="1:8" x14ac:dyDescent="0.2">
      <c r="A402" t="s">
        <v>463</v>
      </c>
      <c r="D402" s="68">
        <v>953.25201416015625</v>
      </c>
      <c r="E402" s="84">
        <v>0.99623352289199829</v>
      </c>
      <c r="F402" s="68">
        <v>39235.86328125</v>
      </c>
      <c r="G402" s="84">
        <v>0.95733976364135742</v>
      </c>
      <c r="H402" s="85">
        <v>41.160011291503906</v>
      </c>
    </row>
    <row r="403" spans="1:8" x14ac:dyDescent="0.2">
      <c r="A403" t="s">
        <v>464</v>
      </c>
      <c r="D403" s="68">
        <v>6.8899998664855957</v>
      </c>
      <c r="E403" s="84">
        <v>7.2006653062999249E-3</v>
      </c>
      <c r="F403" s="68">
        <v>0</v>
      </c>
      <c r="G403" s="84">
        <v>0</v>
      </c>
    </row>
    <row r="404" spans="1:8" x14ac:dyDescent="0.2">
      <c r="A404" t="s">
        <v>544</v>
      </c>
      <c r="D404" s="68">
        <v>-3.2860002517700195</v>
      </c>
      <c r="E404" s="84">
        <v>-3.4341637510806322E-3</v>
      </c>
      <c r="F404" s="68">
        <v>-55.812641143798828</v>
      </c>
      <c r="G404" s="84">
        <v>-1.3618066441267729E-3</v>
      </c>
      <c r="H404" s="85">
        <v>16.984977722167969</v>
      </c>
    </row>
    <row r="405" spans="1:8" x14ac:dyDescent="0.2">
      <c r="A405" t="s">
        <v>465</v>
      </c>
      <c r="D405" s="68">
        <v>4.291534423828125E-6</v>
      </c>
      <c r="E405" s="84">
        <v>4.4850367864057716E-9</v>
      </c>
      <c r="F405" s="68">
        <v>1804.2110595703125</v>
      </c>
      <c r="G405" s="84">
        <v>4.4022046029567719E-2</v>
      </c>
    </row>
    <row r="407" spans="1:8" x14ac:dyDescent="0.2">
      <c r="A407" t="s">
        <v>473</v>
      </c>
      <c r="D407" s="86">
        <v>6.5833933651447296E-2</v>
      </c>
      <c r="E407" t="s">
        <v>474</v>
      </c>
    </row>
    <row r="408" spans="1:8" x14ac:dyDescent="0.2">
      <c r="A408" t="s">
        <v>475</v>
      </c>
      <c r="D408" s="68">
        <v>89.619430541992188</v>
      </c>
      <c r="E408" t="s">
        <v>476</v>
      </c>
    </row>
    <row r="409" spans="1:8" x14ac:dyDescent="0.2">
      <c r="A409" t="s">
        <v>477</v>
      </c>
      <c r="D409" s="68">
        <v>5.9000000953674316</v>
      </c>
      <c r="E409" t="s">
        <v>478</v>
      </c>
    </row>
    <row r="411" spans="1:8" x14ac:dyDescent="0.2">
      <c r="A411" s="9" t="s">
        <v>162</v>
      </c>
      <c r="B411" s="9"/>
      <c r="C411" s="9" t="s">
        <v>537</v>
      </c>
      <c r="D411" s="9"/>
      <c r="E411" s="89" t="s">
        <v>520</v>
      </c>
      <c r="F411" s="69">
        <v>9</v>
      </c>
      <c r="G411" s="9" t="s">
        <v>532</v>
      </c>
      <c r="H411" s="9"/>
    </row>
    <row r="412" spans="1:8" x14ac:dyDescent="0.2">
      <c r="A412" s="9"/>
      <c r="B412" s="9"/>
      <c r="C412" s="9"/>
      <c r="D412" s="71" t="s">
        <v>161</v>
      </c>
      <c r="E412" s="71" t="s">
        <v>161</v>
      </c>
      <c r="F412" s="71" t="s">
        <v>85</v>
      </c>
      <c r="G412" s="71" t="s">
        <v>85</v>
      </c>
      <c r="H412" s="71" t="s">
        <v>164</v>
      </c>
    </row>
    <row r="413" spans="1:8" ht="14.25" x14ac:dyDescent="0.2">
      <c r="A413" s="73" t="s">
        <v>86</v>
      </c>
      <c r="B413" s="73" t="s">
        <v>159</v>
      </c>
      <c r="C413" s="74" t="s">
        <v>160</v>
      </c>
      <c r="D413" s="76" t="s">
        <v>185</v>
      </c>
      <c r="E413" s="75" t="s">
        <v>193</v>
      </c>
      <c r="F413" s="75" t="s">
        <v>163</v>
      </c>
      <c r="G413" s="75" t="s">
        <v>193</v>
      </c>
      <c r="H413" s="76" t="s">
        <v>189</v>
      </c>
    </row>
    <row r="414" spans="1:8" x14ac:dyDescent="0.2">
      <c r="A414" s="2">
        <v>47</v>
      </c>
      <c r="B414" s="2">
        <v>1</v>
      </c>
      <c r="C414" t="s">
        <v>590</v>
      </c>
      <c r="D414" s="68">
        <v>15</v>
      </c>
      <c r="E414" s="84">
        <v>9.5853013917803764E-3</v>
      </c>
      <c r="F414" s="68">
        <v>648</v>
      </c>
      <c r="G414" s="84">
        <v>4.4958699494600296E-2</v>
      </c>
      <c r="H414" s="85">
        <v>43.200000762939453</v>
      </c>
    </row>
    <row r="415" spans="1:8" x14ac:dyDescent="0.2">
      <c r="A415" s="2">
        <v>48</v>
      </c>
      <c r="B415" s="2">
        <v>1</v>
      </c>
      <c r="C415" t="s">
        <v>591</v>
      </c>
      <c r="D415" s="68">
        <v>40</v>
      </c>
      <c r="E415" s="84">
        <v>2.5560803711414337E-2</v>
      </c>
      <c r="F415" s="68">
        <v>596</v>
      </c>
      <c r="G415" s="84">
        <v>4.1350901126861572E-2</v>
      </c>
      <c r="H415" s="85">
        <v>14.899999618530273</v>
      </c>
    </row>
    <row r="416" spans="1:8" x14ac:dyDescent="0.2">
      <c r="A416" s="2">
        <v>49</v>
      </c>
      <c r="B416" s="2">
        <v>1</v>
      </c>
      <c r="C416" t="s">
        <v>592</v>
      </c>
      <c r="D416" s="68">
        <v>1423</v>
      </c>
      <c r="E416" s="84">
        <v>0.90932559967041016</v>
      </c>
      <c r="F416" s="68">
        <v>12522.400390625</v>
      </c>
      <c r="G416" s="84">
        <v>0.86881297826766968</v>
      </c>
      <c r="H416" s="85">
        <v>8.8000001907348633</v>
      </c>
    </row>
    <row r="417" spans="1:8" x14ac:dyDescent="0.2">
      <c r="A417" s="2">
        <v>50</v>
      </c>
      <c r="B417" s="2">
        <v>1</v>
      </c>
      <c r="C417" t="s">
        <v>593</v>
      </c>
      <c r="D417" s="68">
        <v>34</v>
      </c>
      <c r="E417" s="84">
        <v>2.1726682782173157E-2</v>
      </c>
      <c r="F417" s="68">
        <v>316.20001220703125</v>
      </c>
      <c r="G417" s="84">
        <v>2.1938180550932884E-2</v>
      </c>
      <c r="H417" s="85">
        <v>9.3000001907348633</v>
      </c>
    </row>
    <row r="418" spans="1:8" x14ac:dyDescent="0.2">
      <c r="A418" t="s">
        <v>457</v>
      </c>
      <c r="D418" s="68">
        <v>52.89599609375</v>
      </c>
      <c r="E418" s="84">
        <v>3.3801604062318802E-2</v>
      </c>
      <c r="F418" s="68">
        <v>15.207599639892578</v>
      </c>
      <c r="G418" s="84">
        <v>1.0551140876486897E-3</v>
      </c>
      <c r="H418" s="85">
        <v>0.28750002384185791</v>
      </c>
    </row>
    <row r="419" spans="1:8" x14ac:dyDescent="0.2">
      <c r="A419" t="s">
        <v>458</v>
      </c>
      <c r="D419" s="68">
        <v>1512</v>
      </c>
      <c r="E419" s="84">
        <v>0.9661983847618103</v>
      </c>
      <c r="F419" s="68">
        <v>14082.6005859375</v>
      </c>
      <c r="G419" s="84">
        <v>0.97706079483032227</v>
      </c>
      <c r="H419" s="85">
        <v>9.3138895034790039</v>
      </c>
    </row>
    <row r="420" spans="1:8" x14ac:dyDescent="0.2">
      <c r="A420" t="s">
        <v>480</v>
      </c>
      <c r="D420" s="68">
        <v>0</v>
      </c>
      <c r="E420" s="84">
        <v>0</v>
      </c>
      <c r="F420" s="68">
        <v>315.420654296875</v>
      </c>
      <c r="G420" s="84">
        <v>2.188410796225071E-2</v>
      </c>
    </row>
    <row r="421" spans="1:8" x14ac:dyDescent="0.2">
      <c r="A421" t="s">
        <v>460</v>
      </c>
      <c r="D421" s="68">
        <v>1564.89599609375</v>
      </c>
      <c r="E421" s="84">
        <v>1</v>
      </c>
      <c r="F421" s="68">
        <v>14413.228515625</v>
      </c>
      <c r="G421" s="84">
        <v>1</v>
      </c>
      <c r="H421" s="85">
        <v>9.2103424072265625</v>
      </c>
    </row>
    <row r="422" spans="1:8" x14ac:dyDescent="0.2">
      <c r="A422" t="s">
        <v>462</v>
      </c>
      <c r="D422" s="68">
        <v>1546.1619873046875</v>
      </c>
      <c r="E422" s="84">
        <v>0.98802858591079712</v>
      </c>
      <c r="F422" s="68">
        <v>14574.2373046875</v>
      </c>
      <c r="G422" s="84">
        <v>1.0111708641052246</v>
      </c>
      <c r="H422" s="85">
        <v>9.4260740280151367</v>
      </c>
    </row>
    <row r="423" spans="1:8" x14ac:dyDescent="0.2">
      <c r="A423" t="s">
        <v>463</v>
      </c>
      <c r="D423" s="68">
        <v>1546.1619873046875</v>
      </c>
      <c r="E423" s="84">
        <v>0.98802858591079712</v>
      </c>
      <c r="F423" s="68">
        <v>14574.2373046875</v>
      </c>
      <c r="G423" s="84">
        <v>1.0111708641052246</v>
      </c>
      <c r="H423" s="85">
        <v>9.4260740280151367</v>
      </c>
    </row>
    <row r="424" spans="1:8" x14ac:dyDescent="0.2">
      <c r="A424" t="s">
        <v>464</v>
      </c>
      <c r="D424" s="68">
        <v>35.814998626708984</v>
      </c>
      <c r="E424" s="84">
        <v>2.2886503487825394E-2</v>
      </c>
      <c r="F424" s="68">
        <v>0</v>
      </c>
      <c r="G424" s="84">
        <v>0</v>
      </c>
    </row>
    <row r="425" spans="1:8" x14ac:dyDescent="0.2">
      <c r="A425" t="s">
        <v>544</v>
      </c>
      <c r="D425" s="68">
        <v>-17.080999374389648</v>
      </c>
      <c r="E425" s="84">
        <v>-1.0915102437138557E-2</v>
      </c>
      <c r="F425" s="68">
        <v>-161.00675964355469</v>
      </c>
      <c r="G425" s="84">
        <v>-1.1170762591063976E-2</v>
      </c>
      <c r="H425" s="85">
        <v>9.4260740280151367</v>
      </c>
    </row>
    <row r="426" spans="1:8" x14ac:dyDescent="0.2">
      <c r="A426" t="s">
        <v>465</v>
      </c>
      <c r="D426" s="68">
        <v>9.5367431640625E-6</v>
      </c>
      <c r="E426" s="84">
        <v>6.0941705015693515E-9</v>
      </c>
      <c r="F426" s="68">
        <v>-2.0294189453125E-3</v>
      </c>
      <c r="G426" s="84">
        <v>-1.4080252697112883E-7</v>
      </c>
    </row>
    <row r="428" spans="1:8" x14ac:dyDescent="0.2">
      <c r="A428" t="s">
        <v>473</v>
      </c>
      <c r="D428" s="86">
        <v>0.47205477952957153</v>
      </c>
      <c r="E428" t="s">
        <v>474</v>
      </c>
    </row>
    <row r="429" spans="1:8" x14ac:dyDescent="0.2">
      <c r="A429" t="s">
        <v>475</v>
      </c>
      <c r="D429" s="68">
        <v>27.751018524169922</v>
      </c>
      <c r="E429" t="s">
        <v>476</v>
      </c>
    </row>
    <row r="430" spans="1:8" x14ac:dyDescent="0.2">
      <c r="A430" t="s">
        <v>477</v>
      </c>
      <c r="D430" s="68">
        <v>13.100000381469727</v>
      </c>
      <c r="E430" t="s">
        <v>478</v>
      </c>
    </row>
    <row r="432" spans="1:8" x14ac:dyDescent="0.2">
      <c r="A432" s="9" t="s">
        <v>162</v>
      </c>
      <c r="B432" s="9"/>
      <c r="C432" s="9" t="s">
        <v>274</v>
      </c>
      <c r="D432" s="9"/>
      <c r="E432" s="89" t="s">
        <v>520</v>
      </c>
      <c r="F432" s="69">
        <v>9</v>
      </c>
      <c r="G432" s="9" t="s">
        <v>532</v>
      </c>
      <c r="H432" s="9"/>
    </row>
    <row r="433" spans="1:8" x14ac:dyDescent="0.2">
      <c r="A433" s="9"/>
      <c r="B433" s="9"/>
      <c r="C433" s="9"/>
      <c r="D433" s="71" t="s">
        <v>161</v>
      </c>
      <c r="E433" s="71" t="s">
        <v>161</v>
      </c>
      <c r="F433" s="71" t="s">
        <v>85</v>
      </c>
      <c r="G433" s="71" t="s">
        <v>85</v>
      </c>
      <c r="H433" s="71" t="s">
        <v>164</v>
      </c>
    </row>
    <row r="434" spans="1:8" ht="14.25" x14ac:dyDescent="0.2">
      <c r="A434" s="73" t="s">
        <v>86</v>
      </c>
      <c r="B434" s="73" t="s">
        <v>159</v>
      </c>
      <c r="C434" s="74" t="s">
        <v>160</v>
      </c>
      <c r="D434" s="76" t="s">
        <v>185</v>
      </c>
      <c r="E434" s="75" t="s">
        <v>193</v>
      </c>
      <c r="F434" s="75" t="s">
        <v>163</v>
      </c>
      <c r="G434" s="75" t="s">
        <v>193</v>
      </c>
      <c r="H434" s="76" t="s">
        <v>189</v>
      </c>
    </row>
    <row r="435" spans="1:8" x14ac:dyDescent="0.2">
      <c r="A435" s="2">
        <v>47</v>
      </c>
      <c r="B435" s="2">
        <v>1</v>
      </c>
      <c r="C435" t="s">
        <v>590</v>
      </c>
      <c r="D435" s="68">
        <v>15</v>
      </c>
      <c r="E435" s="84">
        <v>9.5853013917803764E-3</v>
      </c>
      <c r="F435" s="68">
        <v>1215</v>
      </c>
      <c r="G435" s="84">
        <v>2.2581761702895164E-2</v>
      </c>
      <c r="H435" s="85">
        <v>81</v>
      </c>
    </row>
    <row r="436" spans="1:8" x14ac:dyDescent="0.2">
      <c r="A436" s="2">
        <v>48</v>
      </c>
      <c r="B436" s="2">
        <v>1</v>
      </c>
      <c r="C436" t="s">
        <v>591</v>
      </c>
      <c r="D436" s="68">
        <v>40</v>
      </c>
      <c r="E436" s="84">
        <v>2.5560803711414337E-2</v>
      </c>
      <c r="F436" s="68">
        <v>2520</v>
      </c>
      <c r="G436" s="84">
        <v>4.6836249530315399E-2</v>
      </c>
      <c r="H436" s="85">
        <v>63</v>
      </c>
    </row>
    <row r="437" spans="1:8" x14ac:dyDescent="0.2">
      <c r="A437" s="2">
        <v>49</v>
      </c>
      <c r="B437" s="2">
        <v>1</v>
      </c>
      <c r="C437" t="s">
        <v>592</v>
      </c>
      <c r="D437" s="68">
        <v>1423</v>
      </c>
      <c r="E437" s="84">
        <v>0.90932559967041016</v>
      </c>
      <c r="F437" s="68">
        <v>46959</v>
      </c>
      <c r="G437" s="84">
        <v>0.87277120351791382</v>
      </c>
      <c r="H437" s="85">
        <v>33</v>
      </c>
    </row>
    <row r="438" spans="1:8" x14ac:dyDescent="0.2">
      <c r="A438" s="2">
        <v>50</v>
      </c>
      <c r="B438" s="2">
        <v>1</v>
      </c>
      <c r="C438" t="s">
        <v>593</v>
      </c>
      <c r="D438" s="68">
        <v>34</v>
      </c>
      <c r="E438" s="84">
        <v>2.1726682782173157E-2</v>
      </c>
      <c r="F438" s="68">
        <v>1190</v>
      </c>
      <c r="G438" s="84">
        <v>2.2117117419838905E-2</v>
      </c>
      <c r="H438" s="85">
        <v>35</v>
      </c>
    </row>
    <row r="439" spans="1:8" x14ac:dyDescent="0.2">
      <c r="A439" t="s">
        <v>457</v>
      </c>
      <c r="D439" s="68">
        <v>52.89599609375</v>
      </c>
      <c r="E439" s="84">
        <v>3.3801604062318802E-2</v>
      </c>
      <c r="F439" s="68">
        <v>887.1099853515625</v>
      </c>
      <c r="G439" s="84">
        <v>1.6487659886479378E-2</v>
      </c>
      <c r="H439" s="85">
        <v>16.770833969116211</v>
      </c>
    </row>
    <row r="440" spans="1:8" x14ac:dyDescent="0.2">
      <c r="A440" t="s">
        <v>458</v>
      </c>
      <c r="D440" s="68">
        <v>1512</v>
      </c>
      <c r="E440" s="84">
        <v>0.9661983847618103</v>
      </c>
      <c r="F440" s="68">
        <v>51884</v>
      </c>
      <c r="G440" s="84">
        <v>0.9643062949180603</v>
      </c>
      <c r="H440" s="85">
        <v>34.314815521240234</v>
      </c>
    </row>
    <row r="441" spans="1:8" x14ac:dyDescent="0.2">
      <c r="A441" t="s">
        <v>480</v>
      </c>
      <c r="D441" s="68">
        <v>0</v>
      </c>
      <c r="E441" s="84">
        <v>0</v>
      </c>
      <c r="F441" s="68">
        <v>1033.371826171875</v>
      </c>
      <c r="G441" s="84">
        <v>1.9206054508686066E-2</v>
      </c>
    </row>
    <row r="442" spans="1:8" x14ac:dyDescent="0.2">
      <c r="A442" t="s">
        <v>460</v>
      </c>
      <c r="D442" s="68">
        <v>1564.89599609375</v>
      </c>
      <c r="E442" s="84">
        <v>1</v>
      </c>
      <c r="F442" s="68">
        <v>53804.48046875</v>
      </c>
      <c r="G442" s="84">
        <v>1</v>
      </c>
      <c r="H442" s="85">
        <v>34.382144927978516</v>
      </c>
    </row>
    <row r="443" spans="1:8" x14ac:dyDescent="0.2">
      <c r="A443" t="s">
        <v>462</v>
      </c>
      <c r="D443" s="68">
        <v>1546.1619873046875</v>
      </c>
      <c r="E443" s="84">
        <v>0.98802858591079712</v>
      </c>
      <c r="F443" s="68">
        <v>17406.01171875</v>
      </c>
      <c r="G443" s="84">
        <v>0.32350486516952515</v>
      </c>
      <c r="H443" s="85">
        <v>11.257559776306152</v>
      </c>
    </row>
    <row r="444" spans="1:8" x14ac:dyDescent="0.2">
      <c r="A444" t="s">
        <v>463</v>
      </c>
      <c r="D444" s="68">
        <v>1546.1619873046875</v>
      </c>
      <c r="E444" s="84">
        <v>0.98802858591079712</v>
      </c>
      <c r="F444" s="68">
        <v>17406.01171875</v>
      </c>
      <c r="G444" s="84">
        <v>0.32350486516952515</v>
      </c>
      <c r="H444" s="85">
        <v>11.257559776306152</v>
      </c>
    </row>
    <row r="445" spans="1:8" x14ac:dyDescent="0.2">
      <c r="A445" t="s">
        <v>464</v>
      </c>
      <c r="D445" s="68">
        <v>35.814998626708984</v>
      </c>
      <c r="E445" s="84">
        <v>2.2886503487825394E-2</v>
      </c>
      <c r="F445" s="68">
        <v>0</v>
      </c>
      <c r="G445" s="84">
        <v>0</v>
      </c>
    </row>
    <row r="446" spans="1:8" x14ac:dyDescent="0.2">
      <c r="A446" t="s">
        <v>544</v>
      </c>
      <c r="D446" s="68">
        <v>-17.080999374389648</v>
      </c>
      <c r="E446" s="84">
        <v>-1.0915102437138557E-2</v>
      </c>
      <c r="F446" s="68">
        <v>-192.29037475585938</v>
      </c>
      <c r="G446" s="84">
        <v>-3.5738728474825621E-3</v>
      </c>
      <c r="H446" s="85">
        <v>11.257559776306152</v>
      </c>
    </row>
    <row r="447" spans="1:8" x14ac:dyDescent="0.2">
      <c r="A447" t="s">
        <v>465</v>
      </c>
      <c r="D447" s="68">
        <v>9.5367431640625E-6</v>
      </c>
      <c r="E447" s="84">
        <v>6.0941705015693515E-9</v>
      </c>
      <c r="F447" s="68">
        <v>36590.7578125</v>
      </c>
      <c r="G447" s="84">
        <v>0.6800689697265625</v>
      </c>
    </row>
    <row r="449" spans="1:8" x14ac:dyDescent="0.2">
      <c r="A449" t="s">
        <v>473</v>
      </c>
      <c r="D449" s="86">
        <v>0.47205477952957153</v>
      </c>
      <c r="E449" t="s">
        <v>474</v>
      </c>
    </row>
    <row r="450" spans="1:8" x14ac:dyDescent="0.2">
      <c r="A450" t="s">
        <v>475</v>
      </c>
      <c r="D450" s="68">
        <v>27.751018524169922</v>
      </c>
      <c r="E450" t="s">
        <v>476</v>
      </c>
    </row>
    <row r="451" spans="1:8" x14ac:dyDescent="0.2">
      <c r="A451" t="s">
        <v>477</v>
      </c>
      <c r="D451" s="68">
        <v>13.100000381469727</v>
      </c>
      <c r="E451" t="s">
        <v>478</v>
      </c>
    </row>
    <row r="453" spans="1:8" x14ac:dyDescent="0.2">
      <c r="A453" s="9" t="s">
        <v>162</v>
      </c>
      <c r="B453" s="9"/>
      <c r="C453" s="9" t="s">
        <v>537</v>
      </c>
      <c r="D453" s="9"/>
      <c r="E453" s="89" t="s">
        <v>520</v>
      </c>
      <c r="F453" s="69">
        <v>10</v>
      </c>
      <c r="G453" s="9" t="s">
        <v>533</v>
      </c>
      <c r="H453" s="9"/>
    </row>
    <row r="454" spans="1:8" x14ac:dyDescent="0.2">
      <c r="A454" s="9"/>
      <c r="B454" s="9"/>
      <c r="C454" s="9"/>
      <c r="D454" s="71" t="s">
        <v>161</v>
      </c>
      <c r="E454" s="71" t="s">
        <v>161</v>
      </c>
      <c r="F454" s="71" t="s">
        <v>85</v>
      </c>
      <c r="G454" s="71" t="s">
        <v>85</v>
      </c>
      <c r="H454" s="71" t="s">
        <v>164</v>
      </c>
    </row>
    <row r="455" spans="1:8" ht="14.25" x14ac:dyDescent="0.2">
      <c r="A455" s="73" t="s">
        <v>86</v>
      </c>
      <c r="B455" s="73" t="s">
        <v>159</v>
      </c>
      <c r="C455" s="74" t="s">
        <v>160</v>
      </c>
      <c r="D455" s="76" t="s">
        <v>185</v>
      </c>
      <c r="E455" s="75" t="s">
        <v>193</v>
      </c>
      <c r="F455" s="75" t="s">
        <v>163</v>
      </c>
      <c r="G455" s="75" t="s">
        <v>193</v>
      </c>
      <c r="H455" s="76" t="s">
        <v>189</v>
      </c>
    </row>
    <row r="456" spans="1:8" x14ac:dyDescent="0.2">
      <c r="A456" s="2">
        <v>51</v>
      </c>
      <c r="B456" s="2">
        <v>1</v>
      </c>
      <c r="C456" t="s">
        <v>594</v>
      </c>
      <c r="D456" s="68">
        <v>13</v>
      </c>
      <c r="E456" s="84">
        <v>4.8793484456837177E-3</v>
      </c>
      <c r="F456" s="68">
        <v>228.80000305175781</v>
      </c>
      <c r="G456" s="84">
        <v>9.8270932212471962E-3</v>
      </c>
      <c r="H456" s="85">
        <v>17.600000381469727</v>
      </c>
    </row>
    <row r="457" spans="1:8" x14ac:dyDescent="0.2">
      <c r="A457" s="2">
        <v>52</v>
      </c>
      <c r="B457" s="2">
        <v>1</v>
      </c>
      <c r="C457" t="s">
        <v>595</v>
      </c>
      <c r="D457" s="68">
        <v>40</v>
      </c>
      <c r="E457" s="84">
        <v>1.5013380907475948E-2</v>
      </c>
      <c r="F457" s="68">
        <v>700</v>
      </c>
      <c r="G457" s="84">
        <v>3.0065406113862991E-2</v>
      </c>
      <c r="H457" s="85">
        <v>17.5</v>
      </c>
    </row>
    <row r="458" spans="1:8" x14ac:dyDescent="0.2">
      <c r="A458" s="2">
        <v>73</v>
      </c>
      <c r="B458" s="2">
        <v>4</v>
      </c>
      <c r="C458" t="s">
        <v>596</v>
      </c>
      <c r="D458" s="68">
        <v>1</v>
      </c>
      <c r="E458" s="84">
        <v>3.7533452268689871E-4</v>
      </c>
      <c r="F458" s="68">
        <v>9.3022565841674805</v>
      </c>
      <c r="G458" s="84">
        <v>3.9953732630237937E-4</v>
      </c>
      <c r="H458" s="85">
        <v>9.3022565841674805</v>
      </c>
    </row>
    <row r="459" spans="1:8" x14ac:dyDescent="0.2">
      <c r="A459" s="2">
        <v>74</v>
      </c>
      <c r="B459" s="2">
        <v>4</v>
      </c>
      <c r="C459" t="s">
        <v>597</v>
      </c>
      <c r="D459" s="68">
        <v>1.1000000238418579</v>
      </c>
      <c r="E459" s="84">
        <v>4.1286795749329031E-4</v>
      </c>
      <c r="F459" s="68">
        <v>10.23248291015625</v>
      </c>
      <c r="G459" s="84">
        <v>4.3949109385721385E-4</v>
      </c>
      <c r="H459" s="85">
        <v>9.3022565841674805</v>
      </c>
    </row>
    <row r="460" spans="1:8" x14ac:dyDescent="0.2">
      <c r="A460" t="s">
        <v>457</v>
      </c>
      <c r="D460" s="68">
        <v>238.36799621582031</v>
      </c>
      <c r="E460" s="84">
        <v>8.9467734098434448E-2</v>
      </c>
      <c r="F460" s="68">
        <v>68.530799865722656</v>
      </c>
      <c r="G460" s="84">
        <v>2.9434375464916229E-3</v>
      </c>
      <c r="H460" s="85">
        <v>0.28749999403953552</v>
      </c>
    </row>
    <row r="461" spans="1:8" x14ac:dyDescent="0.2">
      <c r="A461" t="s">
        <v>458</v>
      </c>
      <c r="D461" s="68">
        <v>53</v>
      </c>
      <c r="E461" s="84">
        <v>1.9892729818820953E-2</v>
      </c>
      <c r="F461" s="68">
        <v>928.79998779296875</v>
      </c>
      <c r="G461" s="84">
        <v>3.9892498403787613E-2</v>
      </c>
      <c r="H461" s="85">
        <v>17.524528503417969</v>
      </c>
    </row>
    <row r="462" spans="1:8" x14ac:dyDescent="0.2">
      <c r="A462" t="s">
        <v>479</v>
      </c>
      <c r="D462" s="68">
        <v>2372.922119140625</v>
      </c>
      <c r="E462" s="84">
        <v>0.8906395435333252</v>
      </c>
      <c r="F462" s="68">
        <v>19021.40234375</v>
      </c>
      <c r="G462" s="84">
        <v>0.81698030233383179</v>
      </c>
      <c r="H462" s="85">
        <v>8.0160245895385742</v>
      </c>
    </row>
    <row r="463" spans="1:8" x14ac:dyDescent="0.2">
      <c r="A463" t="s">
        <v>480</v>
      </c>
      <c r="D463" s="68">
        <v>0</v>
      </c>
      <c r="E463" s="84">
        <v>0</v>
      </c>
      <c r="F463" s="68">
        <v>3263.83984375</v>
      </c>
      <c r="G463" s="84">
        <v>0.14018382132053375</v>
      </c>
    </row>
    <row r="464" spans="1:8" x14ac:dyDescent="0.2">
      <c r="A464" t="s">
        <v>460</v>
      </c>
      <c r="D464" s="68">
        <v>2664.2900390625</v>
      </c>
      <c r="E464" s="84">
        <v>1</v>
      </c>
      <c r="F464" s="68">
        <v>23282.572265625</v>
      </c>
      <c r="G464" s="84">
        <v>1</v>
      </c>
      <c r="H464" s="85">
        <v>8.7387533187866211</v>
      </c>
    </row>
    <row r="465" spans="1:8" x14ac:dyDescent="0.2">
      <c r="A465" t="s">
        <v>461</v>
      </c>
      <c r="D465" s="68">
        <v>2.0999999046325684</v>
      </c>
      <c r="E465" s="84">
        <v>7.8820245107635856E-4</v>
      </c>
      <c r="F465" s="68">
        <v>19.534738540649414</v>
      </c>
      <c r="G465" s="84">
        <v>8.3902839105576277E-4</v>
      </c>
      <c r="H465" s="85">
        <v>9.3022565841674805</v>
      </c>
    </row>
    <row r="466" spans="1:8" x14ac:dyDescent="0.2">
      <c r="A466" t="s">
        <v>462</v>
      </c>
      <c r="D466" s="68">
        <v>2577.76806640625</v>
      </c>
      <c r="E466" s="84">
        <v>0.96752530336380005</v>
      </c>
      <c r="F466" s="68">
        <v>23979.060546875</v>
      </c>
      <c r="G466" s="84">
        <v>1.0299146175384521</v>
      </c>
      <c r="H466" s="85">
        <v>9.3022565841674805</v>
      </c>
    </row>
    <row r="467" spans="1:8" x14ac:dyDescent="0.2">
      <c r="A467" t="s">
        <v>463</v>
      </c>
      <c r="D467" s="68">
        <v>2579.8681640625</v>
      </c>
      <c r="E467" s="84">
        <v>0.96831357479095459</v>
      </c>
      <c r="F467" s="68">
        <v>23998.595703125</v>
      </c>
      <c r="G467" s="84">
        <v>1.0307536125183105</v>
      </c>
      <c r="H467" s="85">
        <v>9.3022565841674805</v>
      </c>
    </row>
    <row r="468" spans="1:8" x14ac:dyDescent="0.2">
      <c r="A468" t="s">
        <v>464</v>
      </c>
      <c r="D468" s="68">
        <v>161.39498901367188</v>
      </c>
      <c r="E468" s="84">
        <v>6.0577109456062317E-2</v>
      </c>
      <c r="F468" s="68">
        <v>0</v>
      </c>
      <c r="G468" s="84">
        <v>0</v>
      </c>
    </row>
    <row r="469" spans="1:8" x14ac:dyDescent="0.2">
      <c r="A469" t="s">
        <v>544</v>
      </c>
      <c r="D469" s="68">
        <v>-76.972999572753906</v>
      </c>
      <c r="E469" s="84">
        <v>-2.8890622779726982E-2</v>
      </c>
      <c r="F469" s="68">
        <v>-716.0225830078125</v>
      </c>
      <c r="G469" s="84">
        <v>-3.0753586441278458E-2</v>
      </c>
      <c r="H469" s="85">
        <v>9.3022565841674805</v>
      </c>
    </row>
    <row r="470" spans="1:8" x14ac:dyDescent="0.2">
      <c r="A470" t="s">
        <v>465</v>
      </c>
      <c r="D470" s="68">
        <v>-1.1444091796875E-4</v>
      </c>
      <c r="E470" s="84">
        <v>-4.2953626433472891E-8</v>
      </c>
      <c r="F470" s="68">
        <v>-8.544921875E-4</v>
      </c>
      <c r="G470" s="84">
        <v>-3.6700935623912301E-8</v>
      </c>
    </row>
    <row r="472" spans="1:8" x14ac:dyDescent="0.2">
      <c r="A472" t="s">
        <v>473</v>
      </c>
      <c r="D472" s="86">
        <v>1.4936032295227051</v>
      </c>
      <c r="E472" t="s">
        <v>474</v>
      </c>
    </row>
    <row r="473" spans="1:8" x14ac:dyDescent="0.2">
      <c r="A473" t="s">
        <v>475</v>
      </c>
      <c r="D473" s="68">
        <v>9.1054973602294922</v>
      </c>
      <c r="E473" t="s">
        <v>476</v>
      </c>
    </row>
    <row r="474" spans="1:8" x14ac:dyDescent="0.2">
      <c r="A474" t="s">
        <v>477</v>
      </c>
      <c r="D474" s="68">
        <v>13.600000381469727</v>
      </c>
      <c r="E474" t="s">
        <v>478</v>
      </c>
    </row>
    <row r="476" spans="1:8" x14ac:dyDescent="0.2">
      <c r="A476" s="9" t="s">
        <v>162</v>
      </c>
      <c r="B476" s="9"/>
      <c r="C476" s="9" t="s">
        <v>274</v>
      </c>
      <c r="D476" s="9"/>
      <c r="E476" s="89" t="s">
        <v>520</v>
      </c>
      <c r="F476" s="69">
        <v>10</v>
      </c>
      <c r="G476" s="9" t="s">
        <v>533</v>
      </c>
      <c r="H476" s="9"/>
    </row>
    <row r="477" spans="1:8" x14ac:dyDescent="0.2">
      <c r="A477" s="9"/>
      <c r="B477" s="9"/>
      <c r="C477" s="9"/>
      <c r="D477" s="71" t="s">
        <v>161</v>
      </c>
      <c r="E477" s="71" t="s">
        <v>161</v>
      </c>
      <c r="F477" s="71" t="s">
        <v>85</v>
      </c>
      <c r="G477" s="71" t="s">
        <v>85</v>
      </c>
      <c r="H477" s="71" t="s">
        <v>164</v>
      </c>
    </row>
    <row r="478" spans="1:8" ht="14.25" x14ac:dyDescent="0.2">
      <c r="A478" s="73" t="s">
        <v>86</v>
      </c>
      <c r="B478" s="73" t="s">
        <v>159</v>
      </c>
      <c r="C478" s="74" t="s">
        <v>160</v>
      </c>
      <c r="D478" s="76" t="s">
        <v>185</v>
      </c>
      <c r="E478" s="75" t="s">
        <v>193</v>
      </c>
      <c r="F478" s="75" t="s">
        <v>163</v>
      </c>
      <c r="G478" s="75" t="s">
        <v>193</v>
      </c>
      <c r="H478" s="76" t="s">
        <v>189</v>
      </c>
    </row>
    <row r="479" spans="1:8" x14ac:dyDescent="0.2">
      <c r="A479" s="2">
        <v>51</v>
      </c>
      <c r="B479" s="2">
        <v>1</v>
      </c>
      <c r="C479" t="s">
        <v>594</v>
      </c>
      <c r="D479" s="68">
        <v>13</v>
      </c>
      <c r="E479" s="84">
        <v>4.8793484456837177E-3</v>
      </c>
      <c r="F479" s="68">
        <v>1118</v>
      </c>
      <c r="G479" s="84">
        <v>9.7554046660661697E-3</v>
      </c>
      <c r="H479" s="85">
        <v>86</v>
      </c>
    </row>
    <row r="480" spans="1:8" x14ac:dyDescent="0.2">
      <c r="A480" s="2">
        <v>52</v>
      </c>
      <c r="B480" s="2">
        <v>1</v>
      </c>
      <c r="C480" t="s">
        <v>595</v>
      </c>
      <c r="D480" s="68">
        <v>40</v>
      </c>
      <c r="E480" s="84">
        <v>1.5013380907475948E-2</v>
      </c>
      <c r="F480" s="68">
        <v>3320</v>
      </c>
      <c r="G480" s="84">
        <v>2.896953746676445E-2</v>
      </c>
      <c r="H480" s="85">
        <v>83</v>
      </c>
    </row>
    <row r="481" spans="1:8" x14ac:dyDescent="0.2">
      <c r="A481" s="2">
        <v>73</v>
      </c>
      <c r="B481" s="2">
        <v>4</v>
      </c>
      <c r="C481" t="s">
        <v>596</v>
      </c>
      <c r="D481" s="68">
        <v>1</v>
      </c>
      <c r="E481" s="84">
        <v>3.7533452268689871E-4</v>
      </c>
      <c r="F481" s="68">
        <v>15.085284233093262</v>
      </c>
      <c r="G481" s="84">
        <v>1.3163062976673245E-4</v>
      </c>
      <c r="H481" s="85">
        <v>15.085284233093262</v>
      </c>
    </row>
    <row r="482" spans="1:8" x14ac:dyDescent="0.2">
      <c r="A482" s="2">
        <v>74</v>
      </c>
      <c r="B482" s="2">
        <v>4</v>
      </c>
      <c r="C482" t="s">
        <v>597</v>
      </c>
      <c r="D482" s="68">
        <v>1.1000000238418579</v>
      </c>
      <c r="E482" s="84">
        <v>4.1286795749329031E-4</v>
      </c>
      <c r="F482" s="68">
        <v>16.593812942504883</v>
      </c>
      <c r="G482" s="84">
        <v>1.4479369565378875E-4</v>
      </c>
      <c r="H482" s="85">
        <v>15.085284233093262</v>
      </c>
    </row>
    <row r="483" spans="1:8" x14ac:dyDescent="0.2">
      <c r="A483" t="s">
        <v>457</v>
      </c>
      <c r="D483" s="68">
        <v>238.36799621582031</v>
      </c>
      <c r="E483" s="84">
        <v>8.9467734098434448E-2</v>
      </c>
      <c r="F483" s="68">
        <v>3997.630126953125</v>
      </c>
      <c r="G483" s="84">
        <v>3.4882377833127975E-2</v>
      </c>
      <c r="H483" s="85">
        <v>16.770833969116211</v>
      </c>
    </row>
    <row r="484" spans="1:8" x14ac:dyDescent="0.2">
      <c r="A484" t="s">
        <v>458</v>
      </c>
      <c r="D484" s="68">
        <v>53</v>
      </c>
      <c r="E484" s="84">
        <v>1.9892729818820953E-2</v>
      </c>
      <c r="F484" s="68">
        <v>4438</v>
      </c>
      <c r="G484" s="84">
        <v>3.8724943995475769E-2</v>
      </c>
      <c r="H484" s="85">
        <v>83.735847473144531</v>
      </c>
    </row>
    <row r="485" spans="1:8" x14ac:dyDescent="0.2">
      <c r="A485" t="s">
        <v>479</v>
      </c>
      <c r="D485" s="68">
        <v>2372.922119140625</v>
      </c>
      <c r="E485" s="84">
        <v>0.8906395435333252</v>
      </c>
      <c r="F485" s="68">
        <v>84055.8984375</v>
      </c>
      <c r="G485" s="84">
        <v>0.7334519624710083</v>
      </c>
      <c r="H485" s="85">
        <v>35.422946929931641</v>
      </c>
    </row>
    <row r="486" spans="1:8" x14ac:dyDescent="0.2">
      <c r="A486" t="s">
        <v>480</v>
      </c>
      <c r="D486" s="68">
        <v>0</v>
      </c>
      <c r="E486" s="84">
        <v>0</v>
      </c>
      <c r="F486" s="68">
        <v>22111.61328125</v>
      </c>
      <c r="G486" s="84">
        <v>0.19294072687625885</v>
      </c>
    </row>
    <row r="487" spans="1:8" x14ac:dyDescent="0.2">
      <c r="A487" t="s">
        <v>460</v>
      </c>
      <c r="D487" s="68">
        <v>2664.2900390625</v>
      </c>
      <c r="E487" s="84">
        <v>1</v>
      </c>
      <c r="F487" s="68">
        <v>114603.140625</v>
      </c>
      <c r="G487" s="84">
        <v>1</v>
      </c>
      <c r="H487" s="85">
        <v>43.014514923095703</v>
      </c>
    </row>
    <row r="488" spans="1:8" x14ac:dyDescent="0.2">
      <c r="A488" t="s">
        <v>461</v>
      </c>
      <c r="D488" s="68">
        <v>2.0999999046325684</v>
      </c>
      <c r="E488" s="84">
        <v>7.8820245107635856E-4</v>
      </c>
      <c r="F488" s="68">
        <v>31.679098129272461</v>
      </c>
      <c r="G488" s="84">
        <v>2.7642433997243643E-4</v>
      </c>
      <c r="H488" s="85">
        <v>15.085285186767578</v>
      </c>
    </row>
    <row r="489" spans="1:8" x14ac:dyDescent="0.2">
      <c r="A489" t="s">
        <v>462</v>
      </c>
      <c r="D489" s="68">
        <v>2577.76806640625</v>
      </c>
      <c r="E489" s="84">
        <v>0.96752530336380005</v>
      </c>
      <c r="F489" s="68">
        <v>38886.36328125</v>
      </c>
      <c r="G489" s="84">
        <v>0.33931323885917664</v>
      </c>
      <c r="H489" s="85">
        <v>15.085284233093262</v>
      </c>
    </row>
    <row r="490" spans="1:8" x14ac:dyDescent="0.2">
      <c r="A490" t="s">
        <v>463</v>
      </c>
      <c r="D490" s="68">
        <v>2579.8681640625</v>
      </c>
      <c r="E490" s="84">
        <v>0.96831357479095459</v>
      </c>
      <c r="F490" s="68">
        <v>38918.04296875</v>
      </c>
      <c r="G490" s="84">
        <v>0.3395896852016449</v>
      </c>
      <c r="H490" s="85">
        <v>15.085283279418945</v>
      </c>
    </row>
    <row r="491" spans="1:8" x14ac:dyDescent="0.2">
      <c r="A491" t="s">
        <v>464</v>
      </c>
      <c r="D491" s="68">
        <v>161.39498901367188</v>
      </c>
      <c r="E491" s="84">
        <v>6.0577109456062317E-2</v>
      </c>
      <c r="F491" s="68">
        <v>0</v>
      </c>
      <c r="G491" s="84">
        <v>0</v>
      </c>
    </row>
    <row r="492" spans="1:8" x14ac:dyDescent="0.2">
      <c r="A492" t="s">
        <v>544</v>
      </c>
      <c r="D492" s="68">
        <v>-76.972999572753906</v>
      </c>
      <c r="E492" s="84">
        <v>-2.8890622779726982E-2</v>
      </c>
      <c r="F492" s="68">
        <v>-1161.1595458984375</v>
      </c>
      <c r="G492" s="84">
        <v>-1.0132004506886005E-2</v>
      </c>
      <c r="H492" s="85">
        <v>15.085284233093262</v>
      </c>
    </row>
    <row r="493" spans="1:8" x14ac:dyDescent="0.2">
      <c r="A493" t="s">
        <v>465</v>
      </c>
      <c r="D493" s="68">
        <v>-1.1444091796875E-4</v>
      </c>
      <c r="E493" s="84">
        <v>-4.2953626433472891E-8</v>
      </c>
      <c r="F493" s="68">
        <v>76846.2578125</v>
      </c>
      <c r="G493" s="84">
        <v>0.67054235935211182</v>
      </c>
    </row>
    <row r="495" spans="1:8" x14ac:dyDescent="0.2">
      <c r="A495" t="s">
        <v>473</v>
      </c>
      <c r="D495" s="86">
        <v>1.4936032295227051</v>
      </c>
      <c r="E495" t="s">
        <v>474</v>
      </c>
    </row>
    <row r="496" spans="1:8" x14ac:dyDescent="0.2">
      <c r="A496" t="s">
        <v>475</v>
      </c>
      <c r="D496" s="68">
        <v>9.1054973602294922</v>
      </c>
      <c r="E496" t="s">
        <v>476</v>
      </c>
    </row>
    <row r="497" spans="1:8" x14ac:dyDescent="0.2">
      <c r="A497" t="s">
        <v>477</v>
      </c>
      <c r="D497" s="68">
        <v>13.600000381469727</v>
      </c>
      <c r="E497" t="s">
        <v>478</v>
      </c>
    </row>
    <row r="499" spans="1:8" x14ac:dyDescent="0.2">
      <c r="A499" s="9" t="s">
        <v>162</v>
      </c>
      <c r="B499" s="9"/>
      <c r="C499" s="9" t="s">
        <v>537</v>
      </c>
      <c r="D499" s="9"/>
      <c r="E499" s="89" t="s">
        <v>520</v>
      </c>
      <c r="F499" s="69">
        <v>11</v>
      </c>
      <c r="G499" s="9" t="s">
        <v>534</v>
      </c>
      <c r="H499" s="9"/>
    </row>
    <row r="500" spans="1:8" x14ac:dyDescent="0.2">
      <c r="A500" s="9"/>
      <c r="B500" s="9"/>
      <c r="C500" s="9"/>
      <c r="D500" s="71" t="s">
        <v>161</v>
      </c>
      <c r="E500" s="71" t="s">
        <v>161</v>
      </c>
      <c r="F500" s="71" t="s">
        <v>85</v>
      </c>
      <c r="G500" s="71" t="s">
        <v>85</v>
      </c>
      <c r="H500" s="71" t="s">
        <v>164</v>
      </c>
    </row>
    <row r="501" spans="1:8" ht="14.25" x14ac:dyDescent="0.2">
      <c r="A501" s="73" t="s">
        <v>86</v>
      </c>
      <c r="B501" s="73" t="s">
        <v>159</v>
      </c>
      <c r="C501" s="74" t="s">
        <v>160</v>
      </c>
      <c r="D501" s="76" t="s">
        <v>185</v>
      </c>
      <c r="E501" s="75" t="s">
        <v>193</v>
      </c>
      <c r="F501" s="75" t="s">
        <v>163</v>
      </c>
      <c r="G501" s="75" t="s">
        <v>193</v>
      </c>
      <c r="H501" s="76" t="s">
        <v>189</v>
      </c>
    </row>
    <row r="502" spans="1:8" x14ac:dyDescent="0.2">
      <c r="A502" s="2">
        <v>53</v>
      </c>
      <c r="B502" s="2">
        <v>1</v>
      </c>
      <c r="C502" t="s">
        <v>598</v>
      </c>
      <c r="D502" s="68">
        <v>39</v>
      </c>
      <c r="E502" s="84">
        <v>0.57665008306503296</v>
      </c>
      <c r="F502" s="68">
        <v>1010.0999755859375</v>
      </c>
      <c r="G502" s="84">
        <v>0.43531897664070129</v>
      </c>
      <c r="H502" s="85">
        <v>25.899999618530273</v>
      </c>
    </row>
    <row r="503" spans="1:8" x14ac:dyDescent="0.2">
      <c r="A503" s="2">
        <v>54</v>
      </c>
      <c r="B503" s="2">
        <v>1</v>
      </c>
      <c r="C503" t="s">
        <v>599</v>
      </c>
      <c r="D503" s="68">
        <v>16</v>
      </c>
      <c r="E503" s="84">
        <v>0.23657439649105072</v>
      </c>
      <c r="F503" s="68">
        <v>982.4000244140625</v>
      </c>
      <c r="G503" s="84">
        <v>0.42338123917579651</v>
      </c>
      <c r="H503" s="85">
        <v>61.400001525878906</v>
      </c>
    </row>
    <row r="504" spans="1:8" x14ac:dyDescent="0.2">
      <c r="A504" s="2">
        <v>55</v>
      </c>
      <c r="B504" s="2">
        <v>1</v>
      </c>
      <c r="C504" t="s">
        <v>600</v>
      </c>
      <c r="D504" s="68">
        <v>2.7999999523162842</v>
      </c>
      <c r="E504" s="84">
        <v>4.1400518268346786E-2</v>
      </c>
      <c r="F504" s="68">
        <v>98.55999755859375</v>
      </c>
      <c r="G504" s="84">
        <v>4.2476031929254532E-2</v>
      </c>
      <c r="H504" s="85">
        <v>35.200000762939453</v>
      </c>
    </row>
    <row r="505" spans="1:8" x14ac:dyDescent="0.2">
      <c r="A505" s="2">
        <v>56</v>
      </c>
      <c r="B505" s="2">
        <v>3</v>
      </c>
      <c r="C505" t="s">
        <v>601</v>
      </c>
      <c r="D505" s="68">
        <v>2.9000000953674316</v>
      </c>
      <c r="E505" s="84">
        <v>4.2879108339548111E-2</v>
      </c>
      <c r="F505" s="68">
        <v>226.20001220703125</v>
      </c>
      <c r="G505" s="84">
        <v>9.7484566271305084E-2</v>
      </c>
      <c r="H505" s="85">
        <v>78</v>
      </c>
    </row>
    <row r="506" spans="1:8" x14ac:dyDescent="0.2">
      <c r="A506" s="2">
        <v>57</v>
      </c>
      <c r="B506" s="2">
        <v>3</v>
      </c>
      <c r="C506" t="s">
        <v>602</v>
      </c>
      <c r="D506" s="68">
        <v>1.9999999552965164E-2</v>
      </c>
      <c r="E506" s="84">
        <v>2.9571796767413616E-4</v>
      </c>
      <c r="F506" s="68">
        <v>1.1200000047683716</v>
      </c>
      <c r="G506" s="84">
        <v>4.826821677852422E-4</v>
      </c>
      <c r="H506" s="85">
        <v>56</v>
      </c>
    </row>
    <row r="507" spans="1:8" x14ac:dyDescent="0.2">
      <c r="A507" t="s">
        <v>457</v>
      </c>
      <c r="D507" s="68">
        <v>6.9119997024536133</v>
      </c>
      <c r="E507" s="84">
        <v>0.10220012813806534</v>
      </c>
      <c r="F507" s="68">
        <v>1.9871999025344849</v>
      </c>
      <c r="G507" s="84">
        <v>8.5641606710851192E-4</v>
      </c>
      <c r="H507" s="85">
        <v>0.28749999403953552</v>
      </c>
    </row>
    <row r="508" spans="1:8" x14ac:dyDescent="0.2">
      <c r="A508" t="s">
        <v>458</v>
      </c>
      <c r="D508" s="68">
        <v>57.799999237060547</v>
      </c>
      <c r="E508" s="84">
        <v>0.85462498664855957</v>
      </c>
      <c r="F508" s="68">
        <v>2091.06005859375</v>
      </c>
      <c r="G508" s="84">
        <v>0.90117627382278442</v>
      </c>
      <c r="H508" s="85">
        <v>36.177509307861328</v>
      </c>
    </row>
    <row r="509" spans="1:8" x14ac:dyDescent="0.2">
      <c r="A509" t="s">
        <v>459</v>
      </c>
      <c r="D509" s="68">
        <v>2.9200000762939453</v>
      </c>
      <c r="E509" s="84">
        <v>4.3174825608730316E-2</v>
      </c>
      <c r="F509" s="68">
        <v>227.32000732421875</v>
      </c>
      <c r="G509" s="84">
        <v>9.7967244684696198E-2</v>
      </c>
      <c r="H509" s="85">
        <v>77.849311828613281</v>
      </c>
    </row>
    <row r="510" spans="1:8" x14ac:dyDescent="0.2">
      <c r="A510" t="s">
        <v>460</v>
      </c>
      <c r="D510" s="68">
        <v>67.632003784179688</v>
      </c>
      <c r="E510" s="84">
        <v>1</v>
      </c>
      <c r="F510" s="68">
        <v>2320.367431640625</v>
      </c>
      <c r="G510" s="84">
        <v>1</v>
      </c>
      <c r="H510" s="85">
        <v>34.308719635009766</v>
      </c>
    </row>
    <row r="511" spans="1:8" x14ac:dyDescent="0.2">
      <c r="A511" t="s">
        <v>462</v>
      </c>
      <c r="D511" s="68">
        <v>65.183998107910156</v>
      </c>
      <c r="E511" s="84">
        <v>0.96380400657653809</v>
      </c>
      <c r="F511" s="68">
        <v>665.65057373046875</v>
      </c>
      <c r="G511" s="84">
        <v>0.28687292337417603</v>
      </c>
      <c r="H511" s="85">
        <v>10.211871147155762</v>
      </c>
    </row>
    <row r="512" spans="1:8" x14ac:dyDescent="0.2">
      <c r="A512" t="s">
        <v>472</v>
      </c>
      <c r="D512" s="68">
        <v>0</v>
      </c>
      <c r="E512" s="84">
        <v>0</v>
      </c>
      <c r="F512" s="68">
        <v>1677.5078125</v>
      </c>
      <c r="G512" s="84">
        <v>0.72294920682907104</v>
      </c>
    </row>
    <row r="513" spans="1:8" x14ac:dyDescent="0.2">
      <c r="A513" t="s">
        <v>463</v>
      </c>
      <c r="D513" s="68">
        <v>65.183998107910156</v>
      </c>
      <c r="E513" s="84">
        <v>0.96380400657653809</v>
      </c>
      <c r="F513" s="68">
        <v>2343.158447265625</v>
      </c>
      <c r="G513" s="84">
        <v>1.0098221302032471</v>
      </c>
      <c r="H513" s="85">
        <v>35.946834564208984</v>
      </c>
    </row>
    <row r="514" spans="1:8" x14ac:dyDescent="0.2">
      <c r="A514" t="s">
        <v>464</v>
      </c>
      <c r="D514" s="68">
        <v>4.679999828338623</v>
      </c>
      <c r="E514" s="84">
        <v>6.9198004901409149E-2</v>
      </c>
      <c r="F514" s="68">
        <v>0</v>
      </c>
      <c r="G514" s="84">
        <v>0</v>
      </c>
    </row>
    <row r="515" spans="1:8" x14ac:dyDescent="0.2">
      <c r="A515" t="s">
        <v>544</v>
      </c>
      <c r="D515" s="68">
        <v>-2.2319998741149902</v>
      </c>
      <c r="E515" s="84">
        <v>-3.3002126961946487E-2</v>
      </c>
      <c r="F515" s="68">
        <v>-22.79289436340332</v>
      </c>
      <c r="G515" s="84">
        <v>-9.8229674622416496E-3</v>
      </c>
      <c r="H515" s="85">
        <v>10.211871147155762</v>
      </c>
    </row>
    <row r="516" spans="1:8" x14ac:dyDescent="0.2">
      <c r="A516" t="s">
        <v>465</v>
      </c>
      <c r="D516" s="68">
        <v>5.7220458984375E-6</v>
      </c>
      <c r="E516" s="84">
        <v>8.460559541845214E-8</v>
      </c>
      <c r="F516" s="68">
        <v>1.8787384033203125E-3</v>
      </c>
      <c r="G516" s="84">
        <v>8.096728265627462E-7</v>
      </c>
    </row>
    <row r="518" spans="1:8" x14ac:dyDescent="0.2">
      <c r="A518" t="s">
        <v>473</v>
      </c>
      <c r="D518" s="86">
        <v>0.36599314212799072</v>
      </c>
      <c r="E518" t="s">
        <v>474</v>
      </c>
    </row>
    <row r="519" spans="1:8" x14ac:dyDescent="0.2">
      <c r="A519" t="s">
        <v>475</v>
      </c>
      <c r="D519" s="68">
        <v>8.7433338165283203</v>
      </c>
      <c r="E519" t="s">
        <v>476</v>
      </c>
    </row>
    <row r="520" spans="1:8" x14ac:dyDescent="0.2">
      <c r="A520" t="s">
        <v>477</v>
      </c>
      <c r="D520" s="68">
        <v>3.2000000476837158</v>
      </c>
      <c r="E520" t="s">
        <v>478</v>
      </c>
    </row>
    <row r="522" spans="1:8" x14ac:dyDescent="0.2">
      <c r="A522" s="9" t="s">
        <v>162</v>
      </c>
      <c r="B522" s="9"/>
      <c r="C522" s="9" t="s">
        <v>274</v>
      </c>
      <c r="D522" s="9"/>
      <c r="E522" s="89" t="s">
        <v>520</v>
      </c>
      <c r="F522" s="69">
        <v>11</v>
      </c>
      <c r="G522" s="9" t="s">
        <v>534</v>
      </c>
      <c r="H522" s="9"/>
    </row>
    <row r="523" spans="1:8" x14ac:dyDescent="0.2">
      <c r="A523" s="9"/>
      <c r="B523" s="9"/>
      <c r="C523" s="9"/>
      <c r="D523" s="71" t="s">
        <v>161</v>
      </c>
      <c r="E523" s="71" t="s">
        <v>161</v>
      </c>
      <c r="F523" s="71" t="s">
        <v>85</v>
      </c>
      <c r="G523" s="71" t="s">
        <v>85</v>
      </c>
      <c r="H523" s="71" t="s">
        <v>164</v>
      </c>
    </row>
    <row r="524" spans="1:8" ht="14.25" x14ac:dyDescent="0.2">
      <c r="A524" s="73" t="s">
        <v>86</v>
      </c>
      <c r="B524" s="73" t="s">
        <v>159</v>
      </c>
      <c r="C524" s="74" t="s">
        <v>160</v>
      </c>
      <c r="D524" s="76" t="s">
        <v>185</v>
      </c>
      <c r="E524" s="75" t="s">
        <v>193</v>
      </c>
      <c r="F524" s="75" t="s">
        <v>163</v>
      </c>
      <c r="G524" s="75" t="s">
        <v>193</v>
      </c>
      <c r="H524" s="76" t="s">
        <v>189</v>
      </c>
    </row>
    <row r="525" spans="1:8" x14ac:dyDescent="0.2">
      <c r="A525" s="2">
        <v>53</v>
      </c>
      <c r="B525" s="2">
        <v>1</v>
      </c>
      <c r="C525" t="s">
        <v>598</v>
      </c>
      <c r="D525" s="68">
        <v>39</v>
      </c>
      <c r="E525" s="84">
        <v>0.57665008306503296</v>
      </c>
      <c r="F525" s="68">
        <v>5265</v>
      </c>
      <c r="G525" s="84">
        <v>0.2758326530456543</v>
      </c>
      <c r="H525" s="85">
        <v>135</v>
      </c>
    </row>
    <row r="526" spans="1:8" x14ac:dyDescent="0.2">
      <c r="A526" s="2">
        <v>54</v>
      </c>
      <c r="B526" s="2">
        <v>1</v>
      </c>
      <c r="C526" t="s">
        <v>599</v>
      </c>
      <c r="D526" s="68">
        <v>16</v>
      </c>
      <c r="E526" s="84">
        <v>0.23657439649105072</v>
      </c>
      <c r="F526" s="68">
        <v>3808</v>
      </c>
      <c r="G526" s="84">
        <v>0.19950062036514282</v>
      </c>
      <c r="H526" s="85">
        <v>238</v>
      </c>
    </row>
    <row r="527" spans="1:8" x14ac:dyDescent="0.2">
      <c r="A527" s="2">
        <v>55</v>
      </c>
      <c r="B527" s="2">
        <v>1</v>
      </c>
      <c r="C527" t="s">
        <v>600</v>
      </c>
      <c r="D527" s="68">
        <v>2.7999999523162842</v>
      </c>
      <c r="E527" s="84">
        <v>4.1400518268346786E-2</v>
      </c>
      <c r="F527" s="68">
        <v>434</v>
      </c>
      <c r="G527" s="84">
        <v>2.2737203165888786E-2</v>
      </c>
      <c r="H527" s="85">
        <v>155</v>
      </c>
    </row>
    <row r="528" spans="1:8" x14ac:dyDescent="0.2">
      <c r="A528" s="2">
        <v>56</v>
      </c>
      <c r="B528" s="2">
        <v>3</v>
      </c>
      <c r="C528" t="s">
        <v>601</v>
      </c>
      <c r="D528" s="68">
        <v>2.9000000953674316</v>
      </c>
      <c r="E528" s="84">
        <v>4.2879108339548111E-2</v>
      </c>
      <c r="F528" s="68">
        <v>783</v>
      </c>
      <c r="G528" s="84">
        <v>4.1021265089511871E-2</v>
      </c>
      <c r="H528" s="85">
        <v>270</v>
      </c>
    </row>
    <row r="529" spans="1:8" x14ac:dyDescent="0.2">
      <c r="A529" s="2">
        <v>57</v>
      </c>
      <c r="B529" s="2">
        <v>3</v>
      </c>
      <c r="C529" t="s">
        <v>602</v>
      </c>
      <c r="D529" s="68">
        <v>1.9999999552965164E-2</v>
      </c>
      <c r="E529" s="84">
        <v>2.9571796767413616E-4</v>
      </c>
      <c r="F529" s="68">
        <v>3.3999998569488525</v>
      </c>
      <c r="G529" s="84">
        <v>1.7812554142437875E-4</v>
      </c>
      <c r="H529" s="85">
        <v>170</v>
      </c>
    </row>
    <row r="530" spans="1:8" x14ac:dyDescent="0.2">
      <c r="A530" t="s">
        <v>457</v>
      </c>
      <c r="D530" s="68">
        <v>6.9119997024536133</v>
      </c>
      <c r="E530" s="84">
        <v>0.10220012813806534</v>
      </c>
      <c r="F530" s="68">
        <v>115.91999816894531</v>
      </c>
      <c r="G530" s="84">
        <v>6.0730334371328354E-3</v>
      </c>
      <c r="H530" s="85">
        <v>16.770833969116211</v>
      </c>
    </row>
    <row r="531" spans="1:8" x14ac:dyDescent="0.2">
      <c r="A531" t="s">
        <v>603</v>
      </c>
      <c r="D531" s="68">
        <v>0</v>
      </c>
      <c r="E531" s="84">
        <v>0</v>
      </c>
      <c r="F531" s="68">
        <v>8678.33984375</v>
      </c>
      <c r="G531" s="84">
        <v>0.45465707778930664</v>
      </c>
    </row>
    <row r="532" spans="1:8" x14ac:dyDescent="0.2">
      <c r="A532" t="s">
        <v>458</v>
      </c>
      <c r="D532" s="68">
        <v>57.799999237060547</v>
      </c>
      <c r="E532" s="84">
        <v>0.85462498664855957</v>
      </c>
      <c r="F532" s="68">
        <v>9507</v>
      </c>
      <c r="G532" s="84">
        <v>0.49807047843933105</v>
      </c>
      <c r="H532" s="85">
        <v>164.48097229003906</v>
      </c>
    </row>
    <row r="533" spans="1:8" x14ac:dyDescent="0.2">
      <c r="A533" t="s">
        <v>459</v>
      </c>
      <c r="D533" s="68">
        <v>2.9200000762939453</v>
      </c>
      <c r="E533" s="84">
        <v>4.3174825608730316E-2</v>
      </c>
      <c r="F533" s="68">
        <v>786.4000244140625</v>
      </c>
      <c r="G533" s="84">
        <v>4.1199393570423126E-2</v>
      </c>
      <c r="H533" s="85">
        <v>269.3150634765625</v>
      </c>
    </row>
    <row r="534" spans="1:8" x14ac:dyDescent="0.2">
      <c r="A534" t="s">
        <v>460</v>
      </c>
      <c r="D534" s="68">
        <v>67.632003784179688</v>
      </c>
      <c r="E534" s="84">
        <v>1</v>
      </c>
      <c r="F534" s="68">
        <v>19087.66015625</v>
      </c>
      <c r="G534" s="84">
        <v>1</v>
      </c>
      <c r="H534" s="85">
        <v>282.22821044921875</v>
      </c>
    </row>
    <row r="535" spans="1:8" x14ac:dyDescent="0.2">
      <c r="A535" t="s">
        <v>462</v>
      </c>
      <c r="D535" s="68">
        <v>65.183998107910156</v>
      </c>
      <c r="E535" s="84">
        <v>0.96380400657653809</v>
      </c>
      <c r="F535" s="68">
        <v>1603.254150390625</v>
      </c>
      <c r="G535" s="84">
        <v>8.3994276821613312E-2</v>
      </c>
      <c r="H535" s="85">
        <v>24.595823287963867</v>
      </c>
    </row>
    <row r="536" spans="1:8" x14ac:dyDescent="0.2">
      <c r="A536" t="s">
        <v>472</v>
      </c>
      <c r="D536" s="68">
        <v>0</v>
      </c>
      <c r="E536" s="84">
        <v>0</v>
      </c>
      <c r="F536" s="68">
        <v>17539.30078125</v>
      </c>
      <c r="G536" s="84">
        <v>0.91888165473937988</v>
      </c>
    </row>
    <row r="537" spans="1:8" x14ac:dyDescent="0.2">
      <c r="A537" t="s">
        <v>463</v>
      </c>
      <c r="D537" s="68">
        <v>65.183998107910156</v>
      </c>
      <c r="E537" s="84">
        <v>0.96380400657653809</v>
      </c>
      <c r="F537" s="68">
        <v>19142.5546875</v>
      </c>
      <c r="G537" s="84">
        <v>1.0028759241104126</v>
      </c>
      <c r="H537" s="85">
        <v>293.66952514648438</v>
      </c>
    </row>
    <row r="538" spans="1:8" x14ac:dyDescent="0.2">
      <c r="A538" t="s">
        <v>464</v>
      </c>
      <c r="D538" s="68">
        <v>4.679999828338623</v>
      </c>
      <c r="E538" s="84">
        <v>6.9198004901409149E-2</v>
      </c>
      <c r="F538" s="68">
        <v>0</v>
      </c>
      <c r="G538" s="84">
        <v>0</v>
      </c>
    </row>
    <row r="539" spans="1:8" x14ac:dyDescent="0.2">
      <c r="A539" t="s">
        <v>544</v>
      </c>
      <c r="D539" s="68">
        <v>-2.2319998741149902</v>
      </c>
      <c r="E539" s="84">
        <v>-3.3002126961946487E-2</v>
      </c>
      <c r="F539" s="68">
        <v>-54.897872924804688</v>
      </c>
      <c r="G539" s="84">
        <v>-2.8760922141373158E-3</v>
      </c>
      <c r="H539" s="85">
        <v>24.595823287963867</v>
      </c>
    </row>
    <row r="540" spans="1:8" x14ac:dyDescent="0.2">
      <c r="A540" t="s">
        <v>465</v>
      </c>
      <c r="D540" s="68">
        <v>5.7220458984375E-6</v>
      </c>
      <c r="E540" s="84">
        <v>8.460559541845214E-8</v>
      </c>
      <c r="F540" s="68">
        <v>3.3416748046875E-3</v>
      </c>
      <c r="G540" s="84">
        <v>1.7506989991034061E-7</v>
      </c>
    </row>
    <row r="542" spans="1:8" x14ac:dyDescent="0.2">
      <c r="A542" t="s">
        <v>473</v>
      </c>
      <c r="D542" s="86">
        <v>0.36599314212799072</v>
      </c>
      <c r="E542" t="s">
        <v>474</v>
      </c>
    </row>
    <row r="543" spans="1:8" x14ac:dyDescent="0.2">
      <c r="A543" t="s">
        <v>475</v>
      </c>
      <c r="D543" s="68">
        <v>8.7433338165283203</v>
      </c>
      <c r="E543" t="s">
        <v>476</v>
      </c>
    </row>
    <row r="544" spans="1:8" x14ac:dyDescent="0.2">
      <c r="A544" t="s">
        <v>477</v>
      </c>
      <c r="D544" s="68">
        <v>3.2000000476837158</v>
      </c>
      <c r="E544" t="s">
        <v>478</v>
      </c>
    </row>
    <row r="546" spans="1:8" x14ac:dyDescent="0.2">
      <c r="A546" s="9" t="s">
        <v>162</v>
      </c>
      <c r="B546" s="9"/>
      <c r="C546" s="9" t="s">
        <v>537</v>
      </c>
      <c r="D546" s="9"/>
      <c r="E546" s="89" t="s">
        <v>520</v>
      </c>
      <c r="F546" s="69">
        <v>12</v>
      </c>
      <c r="G546" s="9" t="s">
        <v>535</v>
      </c>
      <c r="H546" s="9"/>
    </row>
    <row r="547" spans="1:8" x14ac:dyDescent="0.2">
      <c r="A547" s="9"/>
      <c r="B547" s="9"/>
      <c r="C547" s="9"/>
      <c r="D547" s="71" t="s">
        <v>161</v>
      </c>
      <c r="E547" s="71" t="s">
        <v>161</v>
      </c>
      <c r="F547" s="71" t="s">
        <v>85</v>
      </c>
      <c r="G547" s="71" t="s">
        <v>85</v>
      </c>
      <c r="H547" s="71" t="s">
        <v>164</v>
      </c>
    </row>
    <row r="548" spans="1:8" ht="14.25" x14ac:dyDescent="0.2">
      <c r="A548" s="73" t="s">
        <v>86</v>
      </c>
      <c r="B548" s="73" t="s">
        <v>159</v>
      </c>
      <c r="C548" s="74" t="s">
        <v>160</v>
      </c>
      <c r="D548" s="76" t="s">
        <v>185</v>
      </c>
      <c r="E548" s="75" t="s">
        <v>193</v>
      </c>
      <c r="F548" s="75" t="s">
        <v>163</v>
      </c>
      <c r="G548" s="75" t="s">
        <v>193</v>
      </c>
      <c r="H548" s="76" t="s">
        <v>189</v>
      </c>
    </row>
    <row r="549" spans="1:8" x14ac:dyDescent="0.2">
      <c r="A549" s="2">
        <v>58</v>
      </c>
      <c r="B549" s="2">
        <v>1</v>
      </c>
      <c r="C549" t="s">
        <v>604</v>
      </c>
      <c r="D549" s="68">
        <v>1534</v>
      </c>
      <c r="E549" s="84">
        <v>0.73176413774490356</v>
      </c>
      <c r="F549" s="68">
        <v>9971</v>
      </c>
      <c r="G549" s="84">
        <v>0.62877660989761353</v>
      </c>
      <c r="H549" s="85">
        <v>6.5</v>
      </c>
    </row>
    <row r="550" spans="1:8" x14ac:dyDescent="0.2">
      <c r="A550" s="2">
        <v>59</v>
      </c>
      <c r="B550" s="2">
        <v>1</v>
      </c>
      <c r="C550" t="s">
        <v>605</v>
      </c>
      <c r="D550" s="68">
        <v>85</v>
      </c>
      <c r="E550" s="84">
        <v>4.0547553449869156E-2</v>
      </c>
      <c r="F550" s="68">
        <v>833</v>
      </c>
      <c r="G550" s="84">
        <v>5.2529428154230118E-2</v>
      </c>
      <c r="H550" s="85">
        <v>9.8000001907348633</v>
      </c>
    </row>
    <row r="551" spans="1:8" x14ac:dyDescent="0.2">
      <c r="A551" s="2">
        <v>60</v>
      </c>
      <c r="B551" s="2">
        <v>1</v>
      </c>
      <c r="C551" t="s">
        <v>606</v>
      </c>
      <c r="D551" s="68">
        <v>347</v>
      </c>
      <c r="E551" s="84">
        <v>0.16552942991256714</v>
      </c>
      <c r="F551" s="68">
        <v>4129.2998046875</v>
      </c>
      <c r="G551" s="84">
        <v>0.26039585471153259</v>
      </c>
      <c r="H551" s="85">
        <v>11.899999618530273</v>
      </c>
    </row>
    <row r="552" spans="1:8" x14ac:dyDescent="0.2">
      <c r="A552" s="2">
        <v>61</v>
      </c>
      <c r="B552" s="2">
        <v>1</v>
      </c>
      <c r="C552" t="s">
        <v>607</v>
      </c>
      <c r="D552" s="68">
        <v>43</v>
      </c>
      <c r="E552" s="84">
        <v>2.05122921615839E-2</v>
      </c>
      <c r="F552" s="68">
        <v>326.79998779296875</v>
      </c>
      <c r="G552" s="84">
        <v>2.0608182996511459E-2</v>
      </c>
      <c r="H552" s="85">
        <v>7.5999999046325684</v>
      </c>
    </row>
    <row r="553" spans="1:8" x14ac:dyDescent="0.2">
      <c r="A553" s="2">
        <v>62</v>
      </c>
      <c r="B553" s="2">
        <v>3</v>
      </c>
      <c r="C553" t="s">
        <v>608</v>
      </c>
      <c r="D553" s="68">
        <v>1</v>
      </c>
      <c r="E553" s="84">
        <v>4.7703005839139223E-4</v>
      </c>
      <c r="F553" s="68">
        <v>122</v>
      </c>
      <c r="G553" s="84">
        <v>7.6933852396905422E-3</v>
      </c>
      <c r="H553" s="85">
        <v>122</v>
      </c>
    </row>
    <row r="554" spans="1:8" x14ac:dyDescent="0.2">
      <c r="A554" t="s">
        <v>457</v>
      </c>
      <c r="D554" s="68">
        <v>86.304000854492188</v>
      </c>
      <c r="E554" s="84">
        <v>4.1169602423906326E-2</v>
      </c>
      <c r="F554" s="68">
        <v>24.812398910522461</v>
      </c>
      <c r="G554" s="84">
        <v>1.5646831598132849E-3</v>
      </c>
      <c r="H554" s="85">
        <v>0.28749999403953552</v>
      </c>
    </row>
    <row r="555" spans="1:8" x14ac:dyDescent="0.2">
      <c r="A555" t="s">
        <v>458</v>
      </c>
      <c r="D555" s="68">
        <v>2009</v>
      </c>
      <c r="E555" s="84">
        <v>0.95835340023040771</v>
      </c>
      <c r="F555" s="68">
        <v>15260.099609375</v>
      </c>
      <c r="G555" s="84">
        <v>0.9623100757598877</v>
      </c>
      <c r="H555" s="85">
        <v>7.5958685874938965</v>
      </c>
    </row>
    <row r="556" spans="1:8" x14ac:dyDescent="0.2">
      <c r="A556" t="s">
        <v>459</v>
      </c>
      <c r="D556" s="68">
        <v>1</v>
      </c>
      <c r="E556" s="84">
        <v>4.7703005839139223E-4</v>
      </c>
      <c r="F556" s="68">
        <v>122</v>
      </c>
      <c r="G556" s="84">
        <v>7.6933852396905422E-3</v>
      </c>
      <c r="H556" s="85">
        <v>122</v>
      </c>
    </row>
    <row r="557" spans="1:8" x14ac:dyDescent="0.2">
      <c r="A557" t="s">
        <v>480</v>
      </c>
      <c r="D557" s="68">
        <v>0</v>
      </c>
      <c r="E557" s="84">
        <v>0</v>
      </c>
      <c r="F557" s="68">
        <v>450.866455078125</v>
      </c>
      <c r="G557" s="84">
        <v>2.8431881219148636E-2</v>
      </c>
    </row>
    <row r="558" spans="1:8" x14ac:dyDescent="0.2">
      <c r="A558" t="s">
        <v>460</v>
      </c>
      <c r="D558" s="68">
        <v>2096.303955078125</v>
      </c>
      <c r="E558" s="84">
        <v>1</v>
      </c>
      <c r="F558" s="68">
        <v>15857.7783203125</v>
      </c>
      <c r="G558" s="84">
        <v>1</v>
      </c>
      <c r="H558" s="85">
        <v>7.5646367073059082</v>
      </c>
    </row>
    <row r="559" spans="1:8" x14ac:dyDescent="0.2">
      <c r="A559" t="s">
        <v>462</v>
      </c>
      <c r="D559" s="68">
        <v>2065.738037109375</v>
      </c>
      <c r="E559" s="84">
        <v>0.98541915416717529</v>
      </c>
      <c r="F559" s="68">
        <v>16074.642578125</v>
      </c>
      <c r="G559" s="84">
        <v>1.0136755704879761</v>
      </c>
      <c r="H559" s="85">
        <v>7.7815494537353516</v>
      </c>
    </row>
    <row r="560" spans="1:8" x14ac:dyDescent="0.2">
      <c r="A560" t="s">
        <v>463</v>
      </c>
      <c r="D560" s="68">
        <v>2065.738037109375</v>
      </c>
      <c r="E560" s="84">
        <v>0.98541915416717529</v>
      </c>
      <c r="F560" s="68">
        <v>16074.642578125</v>
      </c>
      <c r="G560" s="84">
        <v>1.0136755704879761</v>
      </c>
      <c r="H560" s="85">
        <v>7.7815494537353516</v>
      </c>
    </row>
    <row r="561" spans="1:8" x14ac:dyDescent="0.2">
      <c r="A561" t="s">
        <v>464</v>
      </c>
      <c r="D561" s="68">
        <v>58.43499755859375</v>
      </c>
      <c r="E561" s="84">
        <v>2.7875250205397606E-2</v>
      </c>
      <c r="F561" s="68">
        <v>0</v>
      </c>
      <c r="G561" s="84">
        <v>0</v>
      </c>
    </row>
    <row r="562" spans="1:8" x14ac:dyDescent="0.2">
      <c r="A562" t="s">
        <v>544</v>
      </c>
      <c r="D562" s="68">
        <v>-27.869001388549805</v>
      </c>
      <c r="E562" s="84">
        <v>-1.3294351287186146E-2</v>
      </c>
      <c r="F562" s="68">
        <v>-216.864013671875</v>
      </c>
      <c r="G562" s="84">
        <v>-1.3675561174750328E-2</v>
      </c>
      <c r="H562" s="85">
        <v>7.7815494537353516</v>
      </c>
    </row>
    <row r="563" spans="1:8" x14ac:dyDescent="0.2">
      <c r="A563" t="s">
        <v>465</v>
      </c>
      <c r="D563" s="68">
        <v>-7.82012939453125E-5</v>
      </c>
      <c r="E563" s="84">
        <v>-3.7304367594970245E-8</v>
      </c>
      <c r="F563" s="68">
        <v>-2.44140625E-4</v>
      </c>
      <c r="G563" s="84">
        <v>-1.5395638541804146E-8</v>
      </c>
    </row>
    <row r="565" spans="1:8" x14ac:dyDescent="0.2">
      <c r="A565" t="s">
        <v>473</v>
      </c>
      <c r="D565" s="86">
        <v>0.10146383196115494</v>
      </c>
      <c r="E565" t="s">
        <v>474</v>
      </c>
    </row>
    <row r="566" spans="1:8" x14ac:dyDescent="0.2">
      <c r="A566" t="s">
        <v>475</v>
      </c>
      <c r="D566" s="68">
        <v>22.668174743652344</v>
      </c>
      <c r="E566" t="s">
        <v>476</v>
      </c>
    </row>
    <row r="567" spans="1:8" x14ac:dyDescent="0.2">
      <c r="A567" t="s">
        <v>477</v>
      </c>
      <c r="D567" s="68">
        <v>2.2999999523162842</v>
      </c>
      <c r="E567" t="s">
        <v>478</v>
      </c>
    </row>
    <row r="569" spans="1:8" x14ac:dyDescent="0.2">
      <c r="A569" s="9" t="s">
        <v>162</v>
      </c>
      <c r="B569" s="9"/>
      <c r="C569" s="9" t="s">
        <v>274</v>
      </c>
      <c r="D569" s="9"/>
      <c r="E569" s="89" t="s">
        <v>520</v>
      </c>
      <c r="F569" s="69">
        <v>12</v>
      </c>
      <c r="G569" s="9" t="s">
        <v>535</v>
      </c>
      <c r="H569" s="9"/>
    </row>
    <row r="570" spans="1:8" x14ac:dyDescent="0.2">
      <c r="A570" s="9"/>
      <c r="B570" s="9"/>
      <c r="C570" s="9"/>
      <c r="D570" s="71" t="s">
        <v>161</v>
      </c>
      <c r="E570" s="71" t="s">
        <v>161</v>
      </c>
      <c r="F570" s="71" t="s">
        <v>85</v>
      </c>
      <c r="G570" s="71" t="s">
        <v>85</v>
      </c>
      <c r="H570" s="71" t="s">
        <v>164</v>
      </c>
    </row>
    <row r="571" spans="1:8" ht="14.25" x14ac:dyDescent="0.2">
      <c r="A571" s="73" t="s">
        <v>86</v>
      </c>
      <c r="B571" s="73" t="s">
        <v>159</v>
      </c>
      <c r="C571" s="74" t="s">
        <v>160</v>
      </c>
      <c r="D571" s="76" t="s">
        <v>185</v>
      </c>
      <c r="E571" s="75" t="s">
        <v>193</v>
      </c>
      <c r="F571" s="75" t="s">
        <v>163</v>
      </c>
      <c r="G571" s="75" t="s">
        <v>193</v>
      </c>
      <c r="H571" s="76" t="s">
        <v>189</v>
      </c>
    </row>
    <row r="572" spans="1:8" x14ac:dyDescent="0.2">
      <c r="A572" s="2">
        <v>58</v>
      </c>
      <c r="B572" s="2">
        <v>1</v>
      </c>
      <c r="C572" t="s">
        <v>604</v>
      </c>
      <c r="D572" s="68">
        <v>1534</v>
      </c>
      <c r="E572" s="84">
        <v>0.73176413774490356</v>
      </c>
      <c r="F572" s="68">
        <v>110448</v>
      </c>
      <c r="G572" s="84">
        <v>0.52889865636825562</v>
      </c>
      <c r="H572" s="85">
        <v>72</v>
      </c>
    </row>
    <row r="573" spans="1:8" x14ac:dyDescent="0.2">
      <c r="A573" s="2">
        <v>59</v>
      </c>
      <c r="B573" s="2">
        <v>1</v>
      </c>
      <c r="C573" t="s">
        <v>605</v>
      </c>
      <c r="D573" s="68">
        <v>85</v>
      </c>
      <c r="E573" s="84">
        <v>4.0547553449869156E-2</v>
      </c>
      <c r="F573" s="68">
        <v>30005</v>
      </c>
      <c r="G573" s="84">
        <v>0.14368394017219543</v>
      </c>
      <c r="H573" s="85">
        <v>353</v>
      </c>
    </row>
    <row r="574" spans="1:8" x14ac:dyDescent="0.2">
      <c r="A574" s="2">
        <v>60</v>
      </c>
      <c r="B574" s="2">
        <v>1</v>
      </c>
      <c r="C574" t="s">
        <v>606</v>
      </c>
      <c r="D574" s="68">
        <v>347</v>
      </c>
      <c r="E574" s="84">
        <v>0.16552942991256714</v>
      </c>
      <c r="F574" s="68">
        <v>60031</v>
      </c>
      <c r="G574" s="84">
        <v>0.28746846318244934</v>
      </c>
      <c r="H574" s="85">
        <v>173</v>
      </c>
    </row>
    <row r="575" spans="1:8" x14ac:dyDescent="0.2">
      <c r="A575" s="2">
        <v>61</v>
      </c>
      <c r="B575" s="2">
        <v>1</v>
      </c>
      <c r="C575" t="s">
        <v>607</v>
      </c>
      <c r="D575" s="68">
        <v>43</v>
      </c>
      <c r="E575" s="84">
        <v>2.05122921615839E-2</v>
      </c>
      <c r="F575" s="68">
        <v>4515</v>
      </c>
      <c r="G575" s="84">
        <v>2.1620830520987511E-2</v>
      </c>
      <c r="H575" s="85">
        <v>105</v>
      </c>
    </row>
    <row r="576" spans="1:8" x14ac:dyDescent="0.2">
      <c r="A576" s="2">
        <v>62</v>
      </c>
      <c r="B576" s="2">
        <v>3</v>
      </c>
      <c r="C576" t="s">
        <v>608</v>
      </c>
      <c r="D576" s="68">
        <v>1</v>
      </c>
      <c r="E576" s="84">
        <v>4.7703005839139223E-4</v>
      </c>
      <c r="F576" s="68">
        <v>2380</v>
      </c>
      <c r="G576" s="84">
        <v>1.1397026479244232E-2</v>
      </c>
      <c r="H576" s="85">
        <v>2380</v>
      </c>
    </row>
    <row r="577" spans="1:8" x14ac:dyDescent="0.2">
      <c r="A577" t="s">
        <v>457</v>
      </c>
      <c r="D577" s="68">
        <v>86.304000854492188</v>
      </c>
      <c r="E577" s="84">
        <v>4.1169602423906326E-2</v>
      </c>
      <c r="F577" s="68">
        <v>1447.3900146484375</v>
      </c>
      <c r="G577" s="84">
        <v>6.9310683757066727E-3</v>
      </c>
      <c r="H577" s="85">
        <v>16.770833969116211</v>
      </c>
    </row>
    <row r="578" spans="1:8" x14ac:dyDescent="0.2">
      <c r="A578" t="s">
        <v>458</v>
      </c>
      <c r="D578" s="68">
        <v>2009</v>
      </c>
      <c r="E578" s="84">
        <v>0.95835340023040771</v>
      </c>
      <c r="F578" s="68">
        <v>204999</v>
      </c>
      <c r="G578" s="84">
        <v>0.98167192935943604</v>
      </c>
      <c r="H578" s="85">
        <v>102.04032135009766</v>
      </c>
    </row>
    <row r="579" spans="1:8" x14ac:dyDescent="0.2">
      <c r="A579" t="s">
        <v>459</v>
      </c>
      <c r="D579" s="68">
        <v>1</v>
      </c>
      <c r="E579" s="84">
        <v>4.7703005839139223E-4</v>
      </c>
      <c r="F579" s="68">
        <v>2380</v>
      </c>
      <c r="G579" s="84">
        <v>1.1397026479244232E-2</v>
      </c>
      <c r="H579" s="85">
        <v>2380</v>
      </c>
    </row>
    <row r="580" spans="1:8" x14ac:dyDescent="0.2">
      <c r="A580" t="s">
        <v>460</v>
      </c>
      <c r="D580" s="68">
        <v>2096.303955078125</v>
      </c>
      <c r="E580" s="84">
        <v>1</v>
      </c>
      <c r="F580" s="68">
        <v>208826.390625</v>
      </c>
      <c r="G580" s="84">
        <v>1</v>
      </c>
      <c r="H580" s="85">
        <v>99.616462707519531</v>
      </c>
    </row>
    <row r="581" spans="1:8" x14ac:dyDescent="0.2">
      <c r="A581" t="s">
        <v>462</v>
      </c>
      <c r="D581" s="68">
        <v>2065.738037109375</v>
      </c>
      <c r="E581" s="84">
        <v>0.98541915416717529</v>
      </c>
      <c r="F581" s="68">
        <v>79728.3125</v>
      </c>
      <c r="G581" s="84">
        <v>0.38179230690002441</v>
      </c>
      <c r="H581" s="85">
        <v>38.595558166503906</v>
      </c>
    </row>
    <row r="582" spans="1:8" x14ac:dyDescent="0.2">
      <c r="A582" t="s">
        <v>472</v>
      </c>
      <c r="D582" s="68">
        <v>0</v>
      </c>
      <c r="E582" s="84">
        <v>0</v>
      </c>
      <c r="F582" s="68">
        <v>6970.43505859375</v>
      </c>
      <c r="G582" s="84">
        <v>3.3379089087247849E-2</v>
      </c>
    </row>
    <row r="583" spans="1:8" x14ac:dyDescent="0.2">
      <c r="A583" t="s">
        <v>463</v>
      </c>
      <c r="D583" s="68">
        <v>2065.738037109375</v>
      </c>
      <c r="E583" s="84">
        <v>0.98541915416717529</v>
      </c>
      <c r="F583" s="68">
        <v>86698.75</v>
      </c>
      <c r="G583" s="84">
        <v>0.41517141461372375</v>
      </c>
      <c r="H583" s="85">
        <v>41.969867706298828</v>
      </c>
    </row>
    <row r="584" spans="1:8" x14ac:dyDescent="0.2">
      <c r="A584" t="s">
        <v>464</v>
      </c>
      <c r="D584" s="68">
        <v>58.43499755859375</v>
      </c>
      <c r="E584" s="84">
        <v>2.7875250205397606E-2</v>
      </c>
      <c r="F584" s="68">
        <v>0</v>
      </c>
      <c r="G584" s="84">
        <v>0</v>
      </c>
    </row>
    <row r="585" spans="1:8" x14ac:dyDescent="0.2">
      <c r="A585" t="s">
        <v>544</v>
      </c>
      <c r="D585" s="68">
        <v>-27.869001388549805</v>
      </c>
      <c r="E585" s="84">
        <v>-1.3294351287186146E-2</v>
      </c>
      <c r="F585" s="68">
        <v>-1075.61962890625</v>
      </c>
      <c r="G585" s="84">
        <v>-5.1507838070392609E-3</v>
      </c>
      <c r="H585" s="85">
        <v>38.595558166503906</v>
      </c>
    </row>
    <row r="586" spans="1:8" x14ac:dyDescent="0.2">
      <c r="A586" t="s">
        <v>465</v>
      </c>
      <c r="D586" s="68">
        <v>-7.82012939453125E-5</v>
      </c>
      <c r="E586" s="84">
        <v>-3.7304367594970245E-8</v>
      </c>
      <c r="F586" s="68">
        <v>123203.2578125</v>
      </c>
      <c r="G586" s="84">
        <v>0.58997935056686401</v>
      </c>
    </row>
    <row r="588" spans="1:8" x14ac:dyDescent="0.2">
      <c r="A588" t="s">
        <v>473</v>
      </c>
      <c r="D588" s="86">
        <v>0.10146383196115494</v>
      </c>
      <c r="E588" t="s">
        <v>474</v>
      </c>
    </row>
    <row r="589" spans="1:8" x14ac:dyDescent="0.2">
      <c r="A589" t="s">
        <v>475</v>
      </c>
      <c r="D589" s="68">
        <v>22.668174743652344</v>
      </c>
      <c r="E589" t="s">
        <v>476</v>
      </c>
    </row>
    <row r="590" spans="1:8" x14ac:dyDescent="0.2">
      <c r="A590" t="s">
        <v>477</v>
      </c>
      <c r="D590" s="68">
        <v>2.2999999523162842</v>
      </c>
      <c r="E590" t="s">
        <v>478</v>
      </c>
    </row>
    <row r="592" spans="1:8" x14ac:dyDescent="0.2">
      <c r="A592" s="9" t="s">
        <v>162</v>
      </c>
      <c r="B592" s="9"/>
      <c r="C592" s="9" t="s">
        <v>537</v>
      </c>
      <c r="D592" s="9"/>
      <c r="E592" s="89" t="s">
        <v>520</v>
      </c>
      <c r="F592" s="69">
        <v>13</v>
      </c>
      <c r="G592" s="9" t="s">
        <v>536</v>
      </c>
      <c r="H592" s="9"/>
    </row>
    <row r="593" spans="1:8" x14ac:dyDescent="0.2">
      <c r="A593" s="9"/>
      <c r="B593" s="9"/>
      <c r="C593" s="9"/>
      <c r="D593" s="71" t="s">
        <v>161</v>
      </c>
      <c r="E593" s="71" t="s">
        <v>161</v>
      </c>
      <c r="F593" s="71" t="s">
        <v>85</v>
      </c>
      <c r="G593" s="71" t="s">
        <v>85</v>
      </c>
      <c r="H593" s="71" t="s">
        <v>164</v>
      </c>
    </row>
    <row r="594" spans="1:8" ht="14.25" x14ac:dyDescent="0.2">
      <c r="A594" s="73" t="s">
        <v>86</v>
      </c>
      <c r="B594" s="73" t="s">
        <v>159</v>
      </c>
      <c r="C594" s="74" t="s">
        <v>160</v>
      </c>
      <c r="D594" s="76" t="s">
        <v>185</v>
      </c>
      <c r="E594" s="75" t="s">
        <v>193</v>
      </c>
      <c r="F594" s="75" t="s">
        <v>163</v>
      </c>
      <c r="G594" s="75" t="s">
        <v>193</v>
      </c>
      <c r="H594" s="76" t="s">
        <v>189</v>
      </c>
    </row>
    <row r="595" spans="1:8" x14ac:dyDescent="0.2">
      <c r="A595" s="2">
        <v>63</v>
      </c>
      <c r="B595" s="2">
        <v>1</v>
      </c>
      <c r="C595" t="s">
        <v>609</v>
      </c>
      <c r="D595" s="68">
        <v>56</v>
      </c>
      <c r="E595" s="84">
        <v>4.395355936139822E-3</v>
      </c>
      <c r="F595" s="68">
        <v>800.79998779296875</v>
      </c>
      <c r="G595" s="84">
        <v>6.1398628167808056E-3</v>
      </c>
      <c r="H595" s="85">
        <v>14.300000190734863</v>
      </c>
    </row>
    <row r="596" spans="1:8" x14ac:dyDescent="0.2">
      <c r="A596" s="2">
        <v>64</v>
      </c>
      <c r="B596" s="2">
        <v>1</v>
      </c>
      <c r="C596" t="s">
        <v>610</v>
      </c>
      <c r="D596" s="68">
        <v>366</v>
      </c>
      <c r="E596" s="84">
        <v>2.8726790100336075E-2</v>
      </c>
      <c r="F596" s="68">
        <v>3696.60009765625</v>
      </c>
      <c r="G596" s="84">
        <v>2.8342429548501968E-2</v>
      </c>
      <c r="H596" s="85">
        <v>10.100000381469727</v>
      </c>
    </row>
    <row r="597" spans="1:8" x14ac:dyDescent="0.2">
      <c r="A597" s="2">
        <v>65</v>
      </c>
      <c r="B597" s="2">
        <v>1</v>
      </c>
      <c r="C597" t="s">
        <v>611</v>
      </c>
      <c r="D597" s="68">
        <v>34</v>
      </c>
      <c r="E597" s="84">
        <v>2.6686089113354683E-3</v>
      </c>
      <c r="F597" s="68">
        <v>357</v>
      </c>
      <c r="G597" s="84">
        <v>2.7371766045689583E-3</v>
      </c>
      <c r="H597" s="85">
        <v>10.5</v>
      </c>
    </row>
    <row r="598" spans="1:8" x14ac:dyDescent="0.2">
      <c r="A598" s="2">
        <v>66</v>
      </c>
      <c r="B598" s="2">
        <v>3</v>
      </c>
      <c r="C598" t="s">
        <v>612</v>
      </c>
      <c r="D598" s="68">
        <v>5.4000001400709152E-2</v>
      </c>
      <c r="E598" s="84">
        <v>4.2383790059830062E-6</v>
      </c>
      <c r="F598" s="68">
        <v>25.16400146484375</v>
      </c>
      <c r="G598" s="84">
        <v>1.9293646619189531E-4</v>
      </c>
      <c r="H598" s="85">
        <v>466</v>
      </c>
    </row>
    <row r="599" spans="1:8" x14ac:dyDescent="0.2">
      <c r="A599" s="2">
        <v>67</v>
      </c>
      <c r="B599" s="2">
        <v>4</v>
      </c>
      <c r="C599" t="s">
        <v>613</v>
      </c>
      <c r="D599" s="68">
        <v>12809</v>
      </c>
      <c r="E599" s="84">
        <v>1.0053591728210449</v>
      </c>
      <c r="F599" s="68">
        <v>132378.828125</v>
      </c>
      <c r="G599" s="84">
        <v>1.0149698257446289</v>
      </c>
      <c r="H599" s="85">
        <v>10.334829330444336</v>
      </c>
    </row>
    <row r="600" spans="1:8" x14ac:dyDescent="0.2">
      <c r="A600" t="s">
        <v>457</v>
      </c>
      <c r="D600" s="68">
        <v>178.17599487304688</v>
      </c>
      <c r="E600" s="84">
        <v>1.3984765857458115E-2</v>
      </c>
      <c r="F600" s="68">
        <v>51.225601196289063</v>
      </c>
      <c r="G600" s="84">
        <v>3.9275494054891169E-4</v>
      </c>
      <c r="H600" s="85">
        <v>0.28750002384185791</v>
      </c>
    </row>
    <row r="601" spans="1:8" x14ac:dyDescent="0.2">
      <c r="A601" t="s">
        <v>458</v>
      </c>
      <c r="D601" s="68">
        <v>456</v>
      </c>
      <c r="E601" s="84">
        <v>3.5790752619504929E-2</v>
      </c>
      <c r="F601" s="68">
        <v>4854.39990234375</v>
      </c>
      <c r="G601" s="84">
        <v>3.7219468504190445E-2</v>
      </c>
      <c r="H601" s="85">
        <v>10.645613670349121</v>
      </c>
    </row>
    <row r="602" spans="1:8" x14ac:dyDescent="0.2">
      <c r="A602" t="s">
        <v>459</v>
      </c>
      <c r="D602" s="68">
        <v>5.4000001400709152E-2</v>
      </c>
      <c r="E602" s="84">
        <v>4.2383790059830062E-6</v>
      </c>
      <c r="F602" s="68">
        <v>25.16400146484375</v>
      </c>
      <c r="G602" s="84">
        <v>1.9293646619189531E-4</v>
      </c>
      <c r="H602" s="85">
        <v>466</v>
      </c>
    </row>
    <row r="603" spans="1:8" x14ac:dyDescent="0.2">
      <c r="A603" t="s">
        <v>479</v>
      </c>
      <c r="D603" s="68">
        <v>12106.490234375</v>
      </c>
      <c r="E603" s="84">
        <v>0.95022022724151611</v>
      </c>
      <c r="F603" s="68">
        <v>125083.515625</v>
      </c>
      <c r="G603" s="84">
        <v>0.95903551578521729</v>
      </c>
      <c r="H603" s="85">
        <v>10.331938743591309</v>
      </c>
    </row>
    <row r="604" spans="1:8" x14ac:dyDescent="0.2">
      <c r="A604" t="s">
        <v>480</v>
      </c>
      <c r="D604" s="68">
        <v>0</v>
      </c>
      <c r="E604" s="84">
        <v>0</v>
      </c>
      <c r="F604" s="68">
        <v>412.0625</v>
      </c>
      <c r="G604" s="84">
        <v>3.1593497842550278E-3</v>
      </c>
    </row>
    <row r="605" spans="1:8" x14ac:dyDescent="0.2">
      <c r="A605" t="s">
        <v>460</v>
      </c>
      <c r="D605" s="68">
        <v>12740.720703125</v>
      </c>
      <c r="E605" s="84">
        <v>1</v>
      </c>
      <c r="F605" s="68">
        <v>130426.3671875</v>
      </c>
      <c r="G605" s="84">
        <v>1</v>
      </c>
      <c r="H605" s="85">
        <v>10.236968994140625</v>
      </c>
    </row>
    <row r="606" spans="1:8" x14ac:dyDescent="0.2">
      <c r="A606" t="s">
        <v>461</v>
      </c>
      <c r="D606" s="68">
        <v>12809</v>
      </c>
      <c r="E606" s="84">
        <v>1.0053591728210449</v>
      </c>
      <c r="F606" s="68">
        <v>131932.703125</v>
      </c>
      <c r="G606" s="84">
        <v>1.0115493535995483</v>
      </c>
      <c r="H606" s="85">
        <v>10.300000190734863</v>
      </c>
    </row>
    <row r="607" spans="1:8" x14ac:dyDescent="0.2">
      <c r="A607" t="s">
        <v>462</v>
      </c>
      <c r="D607" s="68">
        <v>-131.38427734375</v>
      </c>
      <c r="E607" s="84">
        <v>-1.0312153957784176E-2</v>
      </c>
      <c r="F607" s="68">
        <v>-1357.8341064453125</v>
      </c>
      <c r="G607" s="84">
        <v>-1.041073352098465E-2</v>
      </c>
      <c r="H607" s="85">
        <v>10.334829330444336</v>
      </c>
    </row>
    <row r="608" spans="1:8" x14ac:dyDescent="0.2">
      <c r="A608" t="s">
        <v>463</v>
      </c>
      <c r="D608" s="68">
        <v>12677.615234375</v>
      </c>
      <c r="E608" s="84">
        <v>0.99504697322845459</v>
      </c>
      <c r="F608" s="68">
        <v>130574.8671875</v>
      </c>
      <c r="G608" s="84">
        <v>1.0011385679244995</v>
      </c>
      <c r="H608" s="85">
        <v>10.299639701843262</v>
      </c>
    </row>
    <row r="609" spans="1:8" x14ac:dyDescent="0.2">
      <c r="A609" t="s">
        <v>464</v>
      </c>
      <c r="D609" s="68">
        <v>120.63999938964844</v>
      </c>
      <c r="E609" s="84">
        <v>9.4688516110181808E-3</v>
      </c>
      <c r="F609" s="68">
        <v>0</v>
      </c>
      <c r="G609" s="84">
        <v>0</v>
      </c>
    </row>
    <row r="610" spans="1:8" x14ac:dyDescent="0.2">
      <c r="A610" t="s">
        <v>544</v>
      </c>
      <c r="D610" s="68">
        <v>-57.536003112792969</v>
      </c>
      <c r="E610" s="84">
        <v>-4.5159142464399338E-3</v>
      </c>
      <c r="F610" s="68">
        <v>-594.624755859375</v>
      </c>
      <c r="G610" s="84">
        <v>-4.5590838417410851E-3</v>
      </c>
      <c r="H610" s="85">
        <v>10.334829330444336</v>
      </c>
    </row>
    <row r="611" spans="1:8" x14ac:dyDescent="0.2">
      <c r="A611" t="s">
        <v>465</v>
      </c>
      <c r="D611" s="68">
        <v>1.47247314453125E-3</v>
      </c>
      <c r="E611" s="84">
        <v>1.1557219892210924E-7</v>
      </c>
      <c r="F611" s="68">
        <v>446.124755859375</v>
      </c>
      <c r="G611" s="84">
        <v>3.4205105621367693E-3</v>
      </c>
    </row>
    <row r="613" spans="1:8" x14ac:dyDescent="0.2">
      <c r="A613" t="s">
        <v>473</v>
      </c>
      <c r="D613" s="86">
        <v>0.15000855922698975</v>
      </c>
      <c r="E613" t="s">
        <v>474</v>
      </c>
    </row>
    <row r="614" spans="1:8" x14ac:dyDescent="0.2">
      <c r="A614" t="s">
        <v>475</v>
      </c>
      <c r="D614" s="68">
        <v>67.996116638183594</v>
      </c>
      <c r="E614" t="s">
        <v>476</v>
      </c>
    </row>
    <row r="615" spans="1:8" x14ac:dyDescent="0.2">
      <c r="A615" t="s">
        <v>477</v>
      </c>
      <c r="D615" s="68">
        <v>10.199999809265137</v>
      </c>
      <c r="E615" t="s">
        <v>478</v>
      </c>
    </row>
    <row r="617" spans="1:8" x14ac:dyDescent="0.2">
      <c r="A617" s="9" t="s">
        <v>162</v>
      </c>
      <c r="B617" s="9"/>
      <c r="C617" s="9" t="s">
        <v>274</v>
      </c>
      <c r="D617" s="9"/>
      <c r="E617" s="89" t="s">
        <v>520</v>
      </c>
      <c r="F617" s="69">
        <v>13</v>
      </c>
      <c r="G617" s="9" t="s">
        <v>536</v>
      </c>
      <c r="H617" s="9"/>
    </row>
    <row r="618" spans="1:8" x14ac:dyDescent="0.2">
      <c r="A618" s="9"/>
      <c r="B618" s="9"/>
      <c r="C618" s="9"/>
      <c r="D618" s="71" t="s">
        <v>161</v>
      </c>
      <c r="E618" s="71" t="s">
        <v>161</v>
      </c>
      <c r="F618" s="71" t="s">
        <v>85</v>
      </c>
      <c r="G618" s="71" t="s">
        <v>85</v>
      </c>
      <c r="H618" s="71" t="s">
        <v>164</v>
      </c>
    </row>
    <row r="619" spans="1:8" ht="14.25" x14ac:dyDescent="0.2">
      <c r="A619" s="73" t="s">
        <v>86</v>
      </c>
      <c r="B619" s="73" t="s">
        <v>159</v>
      </c>
      <c r="C619" s="74" t="s">
        <v>160</v>
      </c>
      <c r="D619" s="76" t="s">
        <v>185</v>
      </c>
      <c r="E619" s="75" t="s">
        <v>193</v>
      </c>
      <c r="F619" s="75" t="s">
        <v>163</v>
      </c>
      <c r="G619" s="75" t="s">
        <v>193</v>
      </c>
      <c r="H619" s="76" t="s">
        <v>189</v>
      </c>
    </row>
    <row r="620" spans="1:8" x14ac:dyDescent="0.2">
      <c r="A620" s="2">
        <v>63</v>
      </c>
      <c r="B620" s="2">
        <v>1</v>
      </c>
      <c r="C620" t="s">
        <v>609</v>
      </c>
      <c r="D620" s="68">
        <v>56</v>
      </c>
      <c r="E620" s="84">
        <v>4.395355936139822E-3</v>
      </c>
      <c r="F620" s="68">
        <v>4144</v>
      </c>
      <c r="G620" s="84">
        <v>1.9437395036220551E-2</v>
      </c>
      <c r="H620" s="85">
        <v>74</v>
      </c>
    </row>
    <row r="621" spans="1:8" x14ac:dyDescent="0.2">
      <c r="A621" s="2">
        <v>64</v>
      </c>
      <c r="B621" s="2">
        <v>1</v>
      </c>
      <c r="C621" t="s">
        <v>610</v>
      </c>
      <c r="D621" s="68">
        <v>366</v>
      </c>
      <c r="E621" s="84">
        <v>2.8726790100336075E-2</v>
      </c>
      <c r="F621" s="68">
        <v>19032</v>
      </c>
      <c r="G621" s="84">
        <v>8.9269421994686127E-2</v>
      </c>
      <c r="H621" s="85">
        <v>52</v>
      </c>
    </row>
    <row r="622" spans="1:8" x14ac:dyDescent="0.2">
      <c r="A622" s="2">
        <v>65</v>
      </c>
      <c r="B622" s="2">
        <v>1</v>
      </c>
      <c r="C622" t="s">
        <v>611</v>
      </c>
      <c r="D622" s="68">
        <v>34</v>
      </c>
      <c r="E622" s="84">
        <v>2.6686089113354683E-3</v>
      </c>
      <c r="F622" s="68">
        <v>1700</v>
      </c>
      <c r="G622" s="84">
        <v>7.9738348722457886E-3</v>
      </c>
      <c r="H622" s="85">
        <v>50</v>
      </c>
    </row>
    <row r="623" spans="1:8" x14ac:dyDescent="0.2">
      <c r="A623" s="2">
        <v>66</v>
      </c>
      <c r="B623" s="2">
        <v>3</v>
      </c>
      <c r="C623" t="s">
        <v>612</v>
      </c>
      <c r="D623" s="68">
        <v>5.4000001400709152E-2</v>
      </c>
      <c r="E623" s="84">
        <v>4.2383790059830062E-6</v>
      </c>
      <c r="F623" s="68">
        <v>4525.2001953125</v>
      </c>
      <c r="G623" s="84">
        <v>2.122541144490242E-2</v>
      </c>
      <c r="H623" s="85">
        <v>83800</v>
      </c>
    </row>
    <row r="624" spans="1:8" x14ac:dyDescent="0.2">
      <c r="A624" s="2">
        <v>67</v>
      </c>
      <c r="B624" s="2">
        <v>4</v>
      </c>
      <c r="C624" t="s">
        <v>613</v>
      </c>
      <c r="D624" s="68">
        <v>12809</v>
      </c>
      <c r="E624" s="84">
        <v>1.0053591728210449</v>
      </c>
      <c r="F624" s="68">
        <v>178904.890625</v>
      </c>
      <c r="G624" s="84">
        <v>0.83915179967880249</v>
      </c>
      <c r="H624" s="85">
        <v>13.967123985290527</v>
      </c>
    </row>
    <row r="625" spans="1:8" x14ac:dyDescent="0.2">
      <c r="A625" t="s">
        <v>457</v>
      </c>
      <c r="D625" s="68">
        <v>178.17599487304688</v>
      </c>
      <c r="E625" s="84">
        <v>1.3984765857458115E-2</v>
      </c>
      <c r="F625" s="68">
        <v>2988.16015625</v>
      </c>
      <c r="G625" s="84">
        <v>1.4015938155353069E-2</v>
      </c>
      <c r="H625" s="85">
        <v>16.770833969116211</v>
      </c>
    </row>
    <row r="626" spans="1:8" x14ac:dyDescent="0.2">
      <c r="A626" t="s">
        <v>458</v>
      </c>
      <c r="D626" s="68">
        <v>456</v>
      </c>
      <c r="E626" s="84">
        <v>3.5790752619504929E-2</v>
      </c>
      <c r="F626" s="68">
        <v>24876</v>
      </c>
      <c r="G626" s="84">
        <v>0.11668065190315247</v>
      </c>
      <c r="H626" s="85">
        <v>54.552631378173828</v>
      </c>
    </row>
    <row r="627" spans="1:8" x14ac:dyDescent="0.2">
      <c r="A627" t="s">
        <v>459</v>
      </c>
      <c r="D627" s="68">
        <v>5.4000001400709152E-2</v>
      </c>
      <c r="E627" s="84">
        <v>4.2383790059830062E-6</v>
      </c>
      <c r="F627" s="68">
        <v>4525.2001953125</v>
      </c>
      <c r="G627" s="84">
        <v>2.122541144490242E-2</v>
      </c>
      <c r="H627" s="85">
        <v>83800</v>
      </c>
    </row>
    <row r="628" spans="1:8" x14ac:dyDescent="0.2">
      <c r="A628" t="s">
        <v>479</v>
      </c>
      <c r="D628" s="68">
        <v>12106.490234375</v>
      </c>
      <c r="E628" s="84">
        <v>0.95022022724151611</v>
      </c>
      <c r="F628" s="68">
        <v>175412.359375</v>
      </c>
      <c r="G628" s="84">
        <v>0.82277011871337891</v>
      </c>
      <c r="H628" s="85">
        <v>14.489117622375488</v>
      </c>
    </row>
    <row r="629" spans="1:8" x14ac:dyDescent="0.2">
      <c r="A629" t="s">
        <v>480</v>
      </c>
      <c r="D629" s="68">
        <v>0</v>
      </c>
      <c r="E629" s="84">
        <v>0</v>
      </c>
      <c r="F629" s="68">
        <v>5395.578125</v>
      </c>
      <c r="G629" s="84">
        <v>2.5307910516858101E-2</v>
      </c>
    </row>
    <row r="630" spans="1:8" x14ac:dyDescent="0.2">
      <c r="A630" t="s">
        <v>460</v>
      </c>
      <c r="D630" s="68">
        <v>12740.720703125</v>
      </c>
      <c r="E630" s="84">
        <v>1</v>
      </c>
      <c r="F630" s="68">
        <v>213197.296875</v>
      </c>
      <c r="G630" s="84">
        <v>1</v>
      </c>
      <c r="H630" s="85">
        <v>16.733535766601563</v>
      </c>
    </row>
    <row r="631" spans="1:8" x14ac:dyDescent="0.2">
      <c r="A631" t="s">
        <v>461</v>
      </c>
      <c r="D631" s="68">
        <v>12809</v>
      </c>
      <c r="E631" s="84">
        <v>1.0053591728210449</v>
      </c>
      <c r="F631" s="68">
        <v>181375.4375</v>
      </c>
      <c r="G631" s="84">
        <v>0.85073983669281006</v>
      </c>
      <c r="H631" s="85">
        <v>14.159999847412109</v>
      </c>
    </row>
    <row r="632" spans="1:8" x14ac:dyDescent="0.2">
      <c r="A632" t="s">
        <v>462</v>
      </c>
      <c r="D632" s="68">
        <v>-131.38427734375</v>
      </c>
      <c r="E632" s="84">
        <v>-1.0312153957784176E-2</v>
      </c>
      <c r="F632" s="68">
        <v>-1835.060546875</v>
      </c>
      <c r="G632" s="84">
        <v>-8.6073353886604309E-3</v>
      </c>
      <c r="H632" s="85">
        <v>13.967123985290527</v>
      </c>
    </row>
    <row r="633" spans="1:8" x14ac:dyDescent="0.2">
      <c r="A633" t="s">
        <v>463</v>
      </c>
      <c r="D633" s="68">
        <v>12677.615234375</v>
      </c>
      <c r="E633" s="84">
        <v>0.99504697322845459</v>
      </c>
      <c r="F633" s="68">
        <v>179540.375</v>
      </c>
      <c r="G633" s="84">
        <v>0.84213250875473022</v>
      </c>
      <c r="H633" s="85">
        <v>14.161998748779297</v>
      </c>
    </row>
    <row r="634" spans="1:8" x14ac:dyDescent="0.2">
      <c r="A634" t="s">
        <v>464</v>
      </c>
      <c r="D634" s="68">
        <v>120.63999938964844</v>
      </c>
      <c r="E634" s="84">
        <v>9.4688516110181808E-3</v>
      </c>
      <c r="F634" s="68">
        <v>0</v>
      </c>
      <c r="G634" s="84">
        <v>0</v>
      </c>
    </row>
    <row r="635" spans="1:8" x14ac:dyDescent="0.2">
      <c r="A635" t="s">
        <v>544</v>
      </c>
      <c r="D635" s="68">
        <v>-57.536003112792969</v>
      </c>
      <c r="E635" s="84">
        <v>-4.5159142464399338E-3</v>
      </c>
      <c r="F635" s="68">
        <v>-803.61248779296875</v>
      </c>
      <c r="G635" s="84">
        <v>-3.7693371996283531E-3</v>
      </c>
      <c r="H635" s="85">
        <v>13.967123985290527</v>
      </c>
    </row>
    <row r="636" spans="1:8" x14ac:dyDescent="0.2">
      <c r="A636" t="s">
        <v>465</v>
      </c>
      <c r="D636" s="68">
        <v>1.47247314453125E-3</v>
      </c>
      <c r="E636" s="84">
        <v>1.1557219892210924E-7</v>
      </c>
      <c r="F636" s="68">
        <v>34460.53515625</v>
      </c>
      <c r="G636" s="84">
        <v>0.1616368293762207</v>
      </c>
    </row>
    <row r="638" spans="1:8" x14ac:dyDescent="0.2">
      <c r="A638" t="s">
        <v>473</v>
      </c>
      <c r="D638" s="86">
        <v>0.15000855922698975</v>
      </c>
      <c r="E638" t="s">
        <v>474</v>
      </c>
    </row>
    <row r="639" spans="1:8" x14ac:dyDescent="0.2">
      <c r="A639" t="s">
        <v>475</v>
      </c>
      <c r="D639" s="68">
        <v>67.996116638183594</v>
      </c>
      <c r="E639" t="s">
        <v>476</v>
      </c>
    </row>
    <row r="640" spans="1:8" x14ac:dyDescent="0.2">
      <c r="A640" t="s">
        <v>477</v>
      </c>
      <c r="D640" s="68">
        <v>10.199999809265137</v>
      </c>
      <c r="E640" t="s">
        <v>478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6A0D-37ED-4156-90E6-D059B0B7F587}">
  <sheetPr codeName="Sheet11"/>
  <dimension ref="A1:J56"/>
  <sheetViews>
    <sheetView showGridLines="0" workbookViewId="0">
      <selection activeCell="E4" sqref="E4:G4"/>
    </sheetView>
  </sheetViews>
  <sheetFormatPr defaultRowHeight="12.75" x14ac:dyDescent="0.2"/>
  <cols>
    <col min="1" max="1" width="7.42578125" customWidth="1"/>
    <col min="2" max="2" width="21" customWidth="1"/>
    <col min="3" max="10" width="12.140625" customWidth="1"/>
  </cols>
  <sheetData>
    <row r="1" spans="1:10" x14ac:dyDescent="0.2">
      <c r="A1" s="9" t="s">
        <v>522</v>
      </c>
      <c r="B1" s="9"/>
    </row>
    <row r="2" spans="1:10" x14ac:dyDescent="0.2">
      <c r="A2" s="9" t="s">
        <v>194</v>
      </c>
      <c r="B2" s="9" t="s">
        <v>523</v>
      </c>
    </row>
    <row r="4" spans="1:10" x14ac:dyDescent="0.2">
      <c r="A4" s="19" t="s">
        <v>250</v>
      </c>
      <c r="B4" s="9"/>
      <c r="C4" s="9"/>
      <c r="D4" s="9"/>
      <c r="E4" s="71" t="s">
        <v>615</v>
      </c>
      <c r="F4" s="69"/>
      <c r="G4" s="9" t="s">
        <v>616</v>
      </c>
      <c r="H4" s="9"/>
      <c r="I4" s="9"/>
      <c r="J4" s="9"/>
    </row>
    <row r="5" spans="1:10" x14ac:dyDescent="0.2">
      <c r="A5" s="9"/>
      <c r="B5" s="9"/>
      <c r="C5" s="9"/>
      <c r="D5" s="71" t="s">
        <v>247</v>
      </c>
      <c r="E5" s="71"/>
      <c r="F5" s="71" t="s">
        <v>248</v>
      </c>
      <c r="G5" s="19" t="s">
        <v>47</v>
      </c>
      <c r="H5" s="71"/>
      <c r="I5" s="71" t="s">
        <v>249</v>
      </c>
      <c r="J5" s="71"/>
    </row>
    <row r="6" spans="1:10" x14ac:dyDescent="0.2">
      <c r="A6" s="73" t="s">
        <v>251</v>
      </c>
      <c r="B6" s="74" t="s">
        <v>143</v>
      </c>
      <c r="C6" s="74" t="s">
        <v>242</v>
      </c>
      <c r="D6" s="75" t="s">
        <v>243</v>
      </c>
      <c r="E6" s="75" t="s">
        <v>244</v>
      </c>
      <c r="F6" s="75" t="s">
        <v>245</v>
      </c>
      <c r="G6" s="75" t="s">
        <v>244</v>
      </c>
      <c r="H6" s="76" t="s">
        <v>27</v>
      </c>
      <c r="I6" s="75" t="s">
        <v>153</v>
      </c>
      <c r="J6" s="75" t="s">
        <v>246</v>
      </c>
    </row>
    <row r="7" spans="1:10" x14ac:dyDescent="0.2">
      <c r="A7" s="2">
        <v>1</v>
      </c>
      <c r="B7" t="s">
        <v>524</v>
      </c>
      <c r="C7" s="85">
        <v>1089.739990234375</v>
      </c>
      <c r="D7" s="85">
        <v>5.5679998397827148</v>
      </c>
      <c r="E7" s="85">
        <v>0</v>
      </c>
      <c r="F7" s="85">
        <v>-1.7980000972747803</v>
      </c>
      <c r="G7" s="85">
        <v>1093.3359375</v>
      </c>
      <c r="H7" s="85">
        <v>0</v>
      </c>
      <c r="I7" s="85">
        <v>712.3836669921875</v>
      </c>
      <c r="J7" s="85">
        <v>3.7699999809265137</v>
      </c>
    </row>
    <row r="8" spans="1:10" x14ac:dyDescent="0.2">
      <c r="A8" s="2">
        <v>2</v>
      </c>
      <c r="B8" t="s">
        <v>525</v>
      </c>
      <c r="C8" s="85">
        <v>615.29998779296875</v>
      </c>
      <c r="D8" s="85">
        <v>41.567996978759766</v>
      </c>
      <c r="E8" s="85">
        <v>1093.3359375</v>
      </c>
      <c r="F8" s="85">
        <v>-13.423000335693359</v>
      </c>
      <c r="G8" s="85">
        <v>1711.3819580078125</v>
      </c>
      <c r="H8" s="85">
        <v>24.100000381469727</v>
      </c>
      <c r="I8" s="85">
        <v>1259.3140869140625</v>
      </c>
      <c r="J8" s="85">
        <v>28.144998550415039</v>
      </c>
    </row>
    <row r="9" spans="1:10" x14ac:dyDescent="0.2">
      <c r="A9" s="2">
        <v>3</v>
      </c>
      <c r="B9" t="s">
        <v>526</v>
      </c>
      <c r="C9" s="85">
        <v>126.93000030517578</v>
      </c>
      <c r="D9" s="85">
        <v>72.575996398925781</v>
      </c>
      <c r="E9" s="85">
        <v>1711.3819580078125</v>
      </c>
      <c r="F9" s="85">
        <v>-23.435998916625977</v>
      </c>
      <c r="G9" s="85">
        <v>1884.3839111328125</v>
      </c>
      <c r="H9" s="85">
        <v>0.80000001192092896</v>
      </c>
      <c r="I9" s="85">
        <v>13998.44140625</v>
      </c>
      <c r="J9" s="85">
        <v>49.139995574951172</v>
      </c>
    </row>
    <row r="10" spans="1:10" x14ac:dyDescent="0.2">
      <c r="A10" s="2">
        <v>4</v>
      </c>
      <c r="B10" t="s">
        <v>527</v>
      </c>
      <c r="C10" s="85">
        <v>1637.9500732421875</v>
      </c>
      <c r="D10" s="85">
        <v>27.35999870300293</v>
      </c>
      <c r="E10" s="85">
        <v>1884.3839111328125</v>
      </c>
      <c r="F10" s="85">
        <v>-8.8350000381469727</v>
      </c>
      <c r="G10" s="85">
        <v>3540.00390625</v>
      </c>
      <c r="H10" s="85">
        <v>0</v>
      </c>
      <c r="I10" s="85">
        <v>49426.86328125</v>
      </c>
      <c r="J10" s="85">
        <v>18.524999618530273</v>
      </c>
    </row>
    <row r="11" spans="1:10" x14ac:dyDescent="0.2">
      <c r="A11" s="2">
        <v>5</v>
      </c>
      <c r="B11" t="s">
        <v>528</v>
      </c>
      <c r="C11" s="85">
        <v>3401.800048828125</v>
      </c>
      <c r="D11" s="85">
        <v>397.5360107421875</v>
      </c>
      <c r="E11" s="85">
        <v>5877.7802734375</v>
      </c>
      <c r="F11" s="85">
        <v>-128.37100219726563</v>
      </c>
      <c r="G11" s="85">
        <v>9528.7216796875</v>
      </c>
      <c r="H11" s="85">
        <v>7.5999999046325684</v>
      </c>
      <c r="I11" s="85">
        <v>8861.552734375</v>
      </c>
      <c r="J11" s="85">
        <v>269.16500854492188</v>
      </c>
    </row>
    <row r="12" spans="1:10" x14ac:dyDescent="0.2">
      <c r="A12" s="2">
        <v>6</v>
      </c>
      <c r="B12" t="s">
        <v>529</v>
      </c>
      <c r="C12" s="85">
        <v>75.800003051757813</v>
      </c>
      <c r="D12" s="85">
        <v>9.2160005569458008</v>
      </c>
      <c r="E12" s="85">
        <v>0</v>
      </c>
      <c r="F12" s="85">
        <v>-2.9760000705718994</v>
      </c>
      <c r="G12" s="85">
        <v>70.251991271972656</v>
      </c>
      <c r="H12" s="85">
        <v>11.5</v>
      </c>
      <c r="I12" s="85">
        <v>4815.8779296875</v>
      </c>
      <c r="J12" s="85">
        <v>6.2400002479553223</v>
      </c>
    </row>
    <row r="13" spans="1:10" x14ac:dyDescent="0.2">
      <c r="A13" s="2">
        <v>7</v>
      </c>
      <c r="B13" t="s">
        <v>530</v>
      </c>
      <c r="C13" s="85">
        <v>6.6999998092651367</v>
      </c>
      <c r="D13" s="85">
        <v>5.2799997329711914</v>
      </c>
      <c r="E13" s="85">
        <v>0</v>
      </c>
      <c r="F13" s="85">
        <v>-1.7050000429153442</v>
      </c>
      <c r="G13" s="85">
        <v>10.110000610351563</v>
      </c>
      <c r="H13" s="85">
        <v>0</v>
      </c>
      <c r="I13" s="85">
        <v>2986.08740234375</v>
      </c>
      <c r="J13" s="85">
        <v>3.5749998092651367</v>
      </c>
    </row>
    <row r="14" spans="1:10" x14ac:dyDescent="0.2">
      <c r="A14" s="2">
        <v>8</v>
      </c>
      <c r="B14" t="s">
        <v>531</v>
      </c>
      <c r="C14" s="85">
        <v>946.67999267578125</v>
      </c>
      <c r="D14" s="85">
        <v>10.176000595092773</v>
      </c>
      <c r="E14" s="85">
        <v>0</v>
      </c>
      <c r="F14" s="85">
        <v>-3.2860002517700195</v>
      </c>
      <c r="G14" s="85">
        <v>953.25201416015625</v>
      </c>
      <c r="H14" s="85">
        <v>0</v>
      </c>
      <c r="I14" s="85">
        <v>8672.826171875</v>
      </c>
      <c r="J14" s="85">
        <v>6.8899998664855957</v>
      </c>
    </row>
    <row r="15" spans="1:10" x14ac:dyDescent="0.2">
      <c r="A15" s="2">
        <v>9</v>
      </c>
      <c r="B15" t="s">
        <v>532</v>
      </c>
      <c r="C15" s="85">
        <v>1512</v>
      </c>
      <c r="D15" s="85">
        <v>52.89599609375</v>
      </c>
      <c r="E15" s="85">
        <v>0</v>
      </c>
      <c r="F15" s="85">
        <v>-17.080999374389648</v>
      </c>
      <c r="G15" s="85">
        <v>1546.1619873046875</v>
      </c>
      <c r="H15" s="85">
        <v>0</v>
      </c>
      <c r="I15" s="85">
        <v>271.74404907226563</v>
      </c>
      <c r="J15" s="85">
        <v>35.814998626708984</v>
      </c>
    </row>
    <row r="16" spans="1:10" x14ac:dyDescent="0.2">
      <c r="A16" s="2">
        <v>10</v>
      </c>
      <c r="B16" t="s">
        <v>533</v>
      </c>
      <c r="C16" s="85">
        <v>53</v>
      </c>
      <c r="D16" s="85">
        <v>238.36799621582031</v>
      </c>
      <c r="E16" s="85">
        <v>2372.922119140625</v>
      </c>
      <c r="F16" s="85">
        <v>-76.972999572753906</v>
      </c>
      <c r="G16" s="85">
        <v>2577.76806640625</v>
      </c>
      <c r="H16" s="85">
        <v>2.0999999046325684</v>
      </c>
      <c r="I16" s="85">
        <v>1966.69970703125</v>
      </c>
      <c r="J16" s="85">
        <v>161.39498901367188</v>
      </c>
    </row>
    <row r="17" spans="1:10" x14ac:dyDescent="0.2">
      <c r="A17" s="2">
        <v>11</v>
      </c>
      <c r="B17" t="s">
        <v>534</v>
      </c>
      <c r="C17" s="85">
        <v>60.720001220703125</v>
      </c>
      <c r="D17" s="85">
        <v>6.9119997024536133</v>
      </c>
      <c r="E17" s="85">
        <v>0</v>
      </c>
      <c r="F17" s="85">
        <v>-2.2319998741149902</v>
      </c>
      <c r="G17" s="85">
        <v>65.183998107910156</v>
      </c>
      <c r="H17" s="85">
        <v>0</v>
      </c>
      <c r="I17" s="85">
        <v>1844.1964111328125</v>
      </c>
      <c r="J17" s="85">
        <v>4.679999828338623</v>
      </c>
    </row>
    <row r="18" spans="1:10" x14ac:dyDescent="0.2">
      <c r="A18" s="2">
        <v>12</v>
      </c>
      <c r="B18" t="s">
        <v>535</v>
      </c>
      <c r="C18" s="85">
        <v>2010</v>
      </c>
      <c r="D18" s="85">
        <v>86.304000854492188</v>
      </c>
      <c r="E18" s="85">
        <v>0</v>
      </c>
      <c r="F18" s="85">
        <v>-27.869001388549805</v>
      </c>
      <c r="G18" s="85">
        <v>2065.738037109375</v>
      </c>
      <c r="H18" s="85">
        <v>0</v>
      </c>
      <c r="I18" s="85">
        <v>296.48464965820313</v>
      </c>
      <c r="J18" s="85">
        <v>58.43499755859375</v>
      </c>
    </row>
    <row r="19" spans="1:10" x14ac:dyDescent="0.2">
      <c r="A19" s="2">
        <v>13</v>
      </c>
      <c r="B19" t="s">
        <v>536</v>
      </c>
      <c r="C19" s="85">
        <v>456.05398559570313</v>
      </c>
      <c r="D19" s="85">
        <v>178.17599487304688</v>
      </c>
      <c r="E19" s="85">
        <v>12106.490234375</v>
      </c>
      <c r="F19" s="85">
        <v>-57.536003112792969</v>
      </c>
      <c r="G19" s="85">
        <v>-131.38427734375</v>
      </c>
      <c r="H19" s="85">
        <v>12809</v>
      </c>
      <c r="I19" s="85">
        <v>0</v>
      </c>
      <c r="J19" s="85">
        <v>120.63999938964844</v>
      </c>
    </row>
    <row r="20" spans="1:10" x14ac:dyDescent="0.2">
      <c r="A20" t="s">
        <v>145</v>
      </c>
      <c r="C20" s="85">
        <v>11992.673828125</v>
      </c>
      <c r="D20" s="85">
        <v>1131.93603515625</v>
      </c>
      <c r="E20" s="85">
        <v>0</v>
      </c>
      <c r="F20" s="85">
        <v>-365.52099609375</v>
      </c>
      <c r="G20" s="85">
        <v>-131.38427734375</v>
      </c>
      <c r="H20" s="85">
        <v>12855.099609375</v>
      </c>
      <c r="I20" s="85">
        <v>0</v>
      </c>
      <c r="J20" s="85">
        <v>766.4150390625</v>
      </c>
    </row>
    <row r="22" spans="1:10" x14ac:dyDescent="0.2">
      <c r="A22" s="19" t="s">
        <v>130</v>
      </c>
      <c r="B22" s="9"/>
      <c r="C22" s="9"/>
      <c r="D22" s="9" t="s">
        <v>90</v>
      </c>
      <c r="E22" s="19" t="s">
        <v>131</v>
      </c>
      <c r="F22" s="71"/>
      <c r="H22" s="71" t="s">
        <v>162</v>
      </c>
      <c r="I22" s="9" t="s">
        <v>537</v>
      </c>
      <c r="J22" s="9"/>
    </row>
    <row r="23" spans="1:10" x14ac:dyDescent="0.2">
      <c r="A23" s="9"/>
      <c r="B23" s="9"/>
      <c r="C23" s="89" t="s">
        <v>192</v>
      </c>
      <c r="E23" s="71"/>
      <c r="F23" s="71" t="s">
        <v>248</v>
      </c>
      <c r="G23" s="19" t="s">
        <v>48</v>
      </c>
      <c r="H23" s="71"/>
      <c r="I23" s="71" t="s">
        <v>145</v>
      </c>
      <c r="J23" s="71" t="s">
        <v>145</v>
      </c>
    </row>
    <row r="24" spans="1:10" x14ac:dyDescent="0.2">
      <c r="A24" s="73" t="s">
        <v>251</v>
      </c>
      <c r="B24" s="74" t="s">
        <v>143</v>
      </c>
      <c r="C24" s="75" t="s">
        <v>242</v>
      </c>
      <c r="D24" s="75" t="s">
        <v>252</v>
      </c>
      <c r="E24" s="75" t="s">
        <v>244</v>
      </c>
      <c r="F24" s="75" t="s">
        <v>245</v>
      </c>
      <c r="G24" s="75" t="s">
        <v>244</v>
      </c>
      <c r="H24" s="75" t="s">
        <v>27</v>
      </c>
      <c r="I24" s="75" t="s">
        <v>153</v>
      </c>
      <c r="J24" s="75" t="s">
        <v>253</v>
      </c>
    </row>
    <row r="25" spans="1:10" x14ac:dyDescent="0.2">
      <c r="A25" s="2">
        <v>1</v>
      </c>
      <c r="B25" t="s">
        <v>524</v>
      </c>
      <c r="C25" s="85">
        <v>11382.2001953125</v>
      </c>
      <c r="D25" s="85">
        <v>1.6008000373840332</v>
      </c>
      <c r="E25" s="85">
        <v>0</v>
      </c>
      <c r="F25" s="85">
        <v>-20.910816192626953</v>
      </c>
      <c r="G25" s="85">
        <v>12715.54296875</v>
      </c>
      <c r="H25" s="85">
        <v>0</v>
      </c>
      <c r="I25" s="85">
        <v>-1310.833984375</v>
      </c>
      <c r="J25" s="85">
        <v>2.613067626953125E-3</v>
      </c>
    </row>
    <row r="26" spans="1:10" x14ac:dyDescent="0.2">
      <c r="A26" s="2">
        <v>2</v>
      </c>
      <c r="B26" t="s">
        <v>525</v>
      </c>
      <c r="C26" s="85">
        <v>14666.599609375</v>
      </c>
      <c r="D26" s="85">
        <v>11.950799942016602</v>
      </c>
      <c r="E26" s="85">
        <v>12715.54296875</v>
      </c>
      <c r="F26" s="85">
        <v>-180.80928039550781</v>
      </c>
      <c r="G26" s="85">
        <v>23052.501953125</v>
      </c>
      <c r="H26" s="85">
        <v>324.629638671875</v>
      </c>
      <c r="I26" s="85">
        <v>4197.76953125</v>
      </c>
      <c r="J26" s="85">
        <v>2.6397705078125E-3</v>
      </c>
    </row>
    <row r="27" spans="1:10" x14ac:dyDescent="0.2">
      <c r="A27" s="2">
        <v>3</v>
      </c>
      <c r="B27" t="s">
        <v>526</v>
      </c>
      <c r="C27" s="85">
        <v>1261.719970703125</v>
      </c>
      <c r="D27" s="85">
        <v>20.865598678588867</v>
      </c>
      <c r="E27" s="85">
        <v>23052.501953125</v>
      </c>
      <c r="F27" s="85">
        <v>-261.95916748046875</v>
      </c>
      <c r="G27" s="85">
        <v>21062.966796875</v>
      </c>
      <c r="H27" s="85">
        <v>8.942112922668457</v>
      </c>
      <c r="I27" s="85">
        <v>3525.125</v>
      </c>
      <c r="J27" s="85">
        <v>1.385498046875E-2</v>
      </c>
    </row>
    <row r="28" spans="1:10" x14ac:dyDescent="0.2">
      <c r="A28" s="2">
        <v>4</v>
      </c>
      <c r="B28" t="s">
        <v>527</v>
      </c>
      <c r="C28" s="85">
        <v>15761.6494140625</v>
      </c>
      <c r="D28" s="85">
        <v>7.865999698638916</v>
      </c>
      <c r="E28" s="85">
        <v>21062.966796875</v>
      </c>
      <c r="F28" s="85">
        <v>-94.707534790039063</v>
      </c>
      <c r="G28" s="85">
        <v>37947.375</v>
      </c>
      <c r="H28" s="85">
        <v>0</v>
      </c>
      <c r="I28" s="85">
        <v>-1020</v>
      </c>
      <c r="J28" s="85">
        <v>-0.1869964599609375</v>
      </c>
    </row>
    <row r="29" spans="1:10" x14ac:dyDescent="0.2">
      <c r="A29" s="2">
        <v>5</v>
      </c>
      <c r="B29" t="s">
        <v>528</v>
      </c>
      <c r="C29" s="85">
        <v>38136.09765625</v>
      </c>
      <c r="D29" s="85">
        <v>114.29159545898438</v>
      </c>
      <c r="E29" s="85">
        <v>60819.10546875</v>
      </c>
      <c r="F29" s="85">
        <v>-1362.079833984375</v>
      </c>
      <c r="G29" s="85">
        <v>101104.453125</v>
      </c>
      <c r="H29" s="85">
        <v>80.639755249023438</v>
      </c>
      <c r="I29" s="85">
        <v>-753.625</v>
      </c>
      <c r="J29" s="85">
        <v>0.103271484375</v>
      </c>
    </row>
    <row r="30" spans="1:10" x14ac:dyDescent="0.2">
      <c r="A30" s="2">
        <v>6</v>
      </c>
      <c r="B30" t="s">
        <v>529</v>
      </c>
      <c r="C30" s="85">
        <v>2203.639892578125</v>
      </c>
      <c r="D30" s="85">
        <v>2.6496000289916992</v>
      </c>
      <c r="E30" s="85">
        <v>0</v>
      </c>
      <c r="F30" s="85">
        <v>-32.410076141357422</v>
      </c>
      <c r="G30" s="85">
        <v>765.07806396484375</v>
      </c>
      <c r="H30" s="85">
        <v>125.24053955078125</v>
      </c>
      <c r="I30" s="85">
        <v>1348.3828125</v>
      </c>
      <c r="J30" s="85">
        <v>-1.789093017578125E-3</v>
      </c>
    </row>
    <row r="31" spans="1:10" x14ac:dyDescent="0.2">
      <c r="A31" s="2">
        <v>7</v>
      </c>
      <c r="B31" t="s">
        <v>530</v>
      </c>
      <c r="C31" s="85">
        <v>596.70001220703125</v>
      </c>
      <c r="D31" s="85">
        <v>1.5180000066757202</v>
      </c>
      <c r="E31" s="85">
        <v>0</v>
      </c>
      <c r="F31" s="85">
        <v>-18.380731582641602</v>
      </c>
      <c r="G31" s="85">
        <v>108.99073028564453</v>
      </c>
      <c r="H31" s="85">
        <v>0</v>
      </c>
      <c r="I31" s="85">
        <v>507.611328125</v>
      </c>
      <c r="J31" s="85">
        <v>-3.3016204833984375E-3</v>
      </c>
    </row>
    <row r="32" spans="1:10" x14ac:dyDescent="0.2">
      <c r="A32" s="2">
        <v>8</v>
      </c>
      <c r="B32" t="s">
        <v>531</v>
      </c>
      <c r="C32" s="85">
        <v>5938.400390625</v>
      </c>
      <c r="D32" s="85">
        <v>2.9256000518798828</v>
      </c>
      <c r="E32" s="85">
        <v>0</v>
      </c>
      <c r="F32" s="85">
        <v>-33.452945709228516</v>
      </c>
      <c r="G32" s="85">
        <v>9704.5302734375</v>
      </c>
      <c r="H32" s="85">
        <v>0</v>
      </c>
      <c r="I32" s="85">
        <v>-3729.7421875</v>
      </c>
      <c r="J32" s="85">
        <v>-8.968353271484375E-3</v>
      </c>
    </row>
    <row r="33" spans="1:10" x14ac:dyDescent="0.2">
      <c r="A33" s="2">
        <v>9</v>
      </c>
      <c r="B33" t="s">
        <v>532</v>
      </c>
      <c r="C33" s="85">
        <v>14082.6005859375</v>
      </c>
      <c r="D33" s="85">
        <v>15.207599639892578</v>
      </c>
      <c r="E33" s="85">
        <v>0</v>
      </c>
      <c r="F33" s="85">
        <v>-161.00675964355469</v>
      </c>
      <c r="G33" s="85">
        <v>14574.2373046875</v>
      </c>
      <c r="H33" s="85">
        <v>0</v>
      </c>
      <c r="I33" s="85">
        <v>-315.420654296875</v>
      </c>
      <c r="J33" s="85">
        <v>-2.0294189453125E-3</v>
      </c>
    </row>
    <row r="34" spans="1:10" x14ac:dyDescent="0.2">
      <c r="A34" s="2">
        <v>10</v>
      </c>
      <c r="B34" t="s">
        <v>533</v>
      </c>
      <c r="C34" s="85">
        <v>928.79998779296875</v>
      </c>
      <c r="D34" s="85">
        <v>68.530799865722656</v>
      </c>
      <c r="E34" s="85">
        <v>19021.40234375</v>
      </c>
      <c r="F34" s="85">
        <v>-716.0225830078125</v>
      </c>
      <c r="G34" s="85">
        <v>23979.060546875</v>
      </c>
      <c r="H34" s="85">
        <v>19.534738540649414</v>
      </c>
      <c r="I34" s="85">
        <v>-3263.83984375</v>
      </c>
      <c r="J34" s="85">
        <v>-8.544921875E-4</v>
      </c>
    </row>
    <row r="35" spans="1:10" x14ac:dyDescent="0.2">
      <c r="A35" s="2">
        <v>11</v>
      </c>
      <c r="B35" t="s">
        <v>534</v>
      </c>
      <c r="C35" s="85">
        <v>2318.380126953125</v>
      </c>
      <c r="D35" s="85">
        <v>1.9871999025344849</v>
      </c>
      <c r="E35" s="85">
        <v>0</v>
      </c>
      <c r="F35" s="85">
        <v>-22.79289436340332</v>
      </c>
      <c r="G35" s="85">
        <v>665.65057373046875</v>
      </c>
      <c r="H35" s="85">
        <v>0</v>
      </c>
      <c r="I35" s="85">
        <v>1677.5078125</v>
      </c>
      <c r="J35" s="85">
        <v>1.8787384033203125E-3</v>
      </c>
    </row>
    <row r="36" spans="1:10" x14ac:dyDescent="0.2">
      <c r="A36" s="2">
        <v>12</v>
      </c>
      <c r="B36" t="s">
        <v>535</v>
      </c>
      <c r="C36" s="85">
        <v>15382.099609375</v>
      </c>
      <c r="D36" s="85">
        <v>24.812398910522461</v>
      </c>
      <c r="E36" s="85">
        <v>0</v>
      </c>
      <c r="F36" s="85">
        <v>-216.864013671875</v>
      </c>
      <c r="G36" s="85">
        <v>16074.642578125</v>
      </c>
      <c r="H36" s="85">
        <v>0</v>
      </c>
      <c r="I36" s="85">
        <v>-450.866455078125</v>
      </c>
      <c r="J36" s="85">
        <v>-2.44140625E-4</v>
      </c>
    </row>
    <row r="37" spans="1:10" x14ac:dyDescent="0.2">
      <c r="A37" s="2">
        <v>13</v>
      </c>
      <c r="B37" t="s">
        <v>536</v>
      </c>
      <c r="C37" s="85">
        <v>4879.56396484375</v>
      </c>
      <c r="D37" s="85">
        <v>51.225601196289063</v>
      </c>
      <c r="E37" s="85">
        <v>125083.515625</v>
      </c>
      <c r="F37" s="85">
        <v>-594.624755859375</v>
      </c>
      <c r="G37" s="85">
        <v>-1357.8341064453125</v>
      </c>
      <c r="H37" s="85">
        <v>131932.703125</v>
      </c>
      <c r="I37" s="85">
        <v>-412.0625</v>
      </c>
      <c r="J37" s="85">
        <v>446.124755859375</v>
      </c>
    </row>
    <row r="38" spans="1:10" x14ac:dyDescent="0.2">
      <c r="A38" t="s">
        <v>145</v>
      </c>
      <c r="C38" s="85">
        <v>127538.453125</v>
      </c>
      <c r="D38" s="85">
        <v>325.43157958984375</v>
      </c>
      <c r="E38" s="85">
        <v>0</v>
      </c>
      <c r="F38" s="85">
        <v>-3716.021484375</v>
      </c>
      <c r="G38" s="85">
        <v>-1357.8341064453125</v>
      </c>
      <c r="H38" s="85">
        <v>132491.6875</v>
      </c>
      <c r="I38" s="85">
        <v>0</v>
      </c>
      <c r="J38" s="85">
        <v>446.04483032226563</v>
      </c>
    </row>
    <row r="40" spans="1:10" x14ac:dyDescent="0.2">
      <c r="A40" s="19" t="s">
        <v>130</v>
      </c>
      <c r="B40" s="9"/>
      <c r="C40" s="9"/>
      <c r="D40" s="9" t="s">
        <v>90</v>
      </c>
      <c r="E40" s="19" t="s">
        <v>131</v>
      </c>
      <c r="F40" s="71"/>
      <c r="H40" s="71" t="s">
        <v>162</v>
      </c>
      <c r="I40" s="9" t="s">
        <v>274</v>
      </c>
      <c r="J40" s="9"/>
    </row>
    <row r="41" spans="1:10" x14ac:dyDescent="0.2">
      <c r="A41" s="9"/>
      <c r="B41" s="9"/>
      <c r="C41" s="89" t="s">
        <v>192</v>
      </c>
      <c r="E41" s="71"/>
      <c r="F41" s="71" t="s">
        <v>248</v>
      </c>
      <c r="G41" s="19" t="s">
        <v>48</v>
      </c>
      <c r="H41" s="71"/>
      <c r="I41" s="71" t="s">
        <v>145</v>
      </c>
      <c r="J41" s="71" t="s">
        <v>145</v>
      </c>
    </row>
    <row r="42" spans="1:10" x14ac:dyDescent="0.2">
      <c r="A42" s="73" t="s">
        <v>251</v>
      </c>
      <c r="B42" s="74" t="s">
        <v>143</v>
      </c>
      <c r="C42" s="75" t="s">
        <v>242</v>
      </c>
      <c r="D42" s="75" t="s">
        <v>252</v>
      </c>
      <c r="E42" s="75" t="s">
        <v>244</v>
      </c>
      <c r="F42" s="75" t="s">
        <v>245</v>
      </c>
      <c r="G42" s="75" t="s">
        <v>244</v>
      </c>
      <c r="H42" s="75" t="s">
        <v>27</v>
      </c>
      <c r="I42" s="75" t="s">
        <v>153</v>
      </c>
      <c r="J42" s="75" t="s">
        <v>253</v>
      </c>
    </row>
    <row r="43" spans="1:10" x14ac:dyDescent="0.2">
      <c r="A43" s="2">
        <v>1</v>
      </c>
      <c r="B43" t="s">
        <v>524</v>
      </c>
      <c r="C43" s="85">
        <v>83974.3984375</v>
      </c>
      <c r="D43" s="85">
        <v>93.3800048828125</v>
      </c>
      <c r="E43" s="85">
        <v>0</v>
      </c>
      <c r="F43" s="85">
        <v>-106.45368957519531</v>
      </c>
      <c r="G43" s="85">
        <v>64732.8359375</v>
      </c>
      <c r="H43" s="85">
        <v>0</v>
      </c>
      <c r="I43" s="85">
        <v>16594.9765625</v>
      </c>
      <c r="J43" s="85">
        <v>2846.42236328125</v>
      </c>
    </row>
    <row r="44" spans="1:10" x14ac:dyDescent="0.2">
      <c r="A44" s="2">
        <v>2</v>
      </c>
      <c r="B44" t="s">
        <v>525</v>
      </c>
      <c r="C44" s="85">
        <v>18837</v>
      </c>
      <c r="D44" s="85">
        <v>697.1300048828125</v>
      </c>
      <c r="E44" s="85">
        <v>64732.8359375</v>
      </c>
      <c r="F44" s="85">
        <v>-482.0430908203125</v>
      </c>
      <c r="G44" s="85">
        <v>61458.67578125</v>
      </c>
      <c r="H44" s="85">
        <v>865.4725341796875</v>
      </c>
      <c r="I44" s="85">
        <v>6230.6875</v>
      </c>
      <c r="J44" s="85">
        <v>16194.17578125</v>
      </c>
    </row>
    <row r="45" spans="1:10" x14ac:dyDescent="0.2">
      <c r="A45" s="2">
        <v>3</v>
      </c>
      <c r="B45" t="s">
        <v>526</v>
      </c>
      <c r="C45" s="85">
        <v>7326.39990234375</v>
      </c>
      <c r="D45" s="85">
        <v>1217.1600341796875</v>
      </c>
      <c r="E45" s="85">
        <v>61458.67578125</v>
      </c>
      <c r="F45" s="85">
        <v>-416.83847045898438</v>
      </c>
      <c r="G45" s="85">
        <v>33516.1171875</v>
      </c>
      <c r="H45" s="85">
        <v>14.228998184204102</v>
      </c>
      <c r="I45" s="85">
        <v>-9508.5</v>
      </c>
      <c r="J45" s="85">
        <v>46397.2265625</v>
      </c>
    </row>
    <row r="46" spans="1:10" x14ac:dyDescent="0.2">
      <c r="A46" s="2">
        <v>4</v>
      </c>
      <c r="B46" t="s">
        <v>527</v>
      </c>
      <c r="C46" s="85">
        <v>163130.59375</v>
      </c>
      <c r="D46" s="85">
        <v>458.85000610351563</v>
      </c>
      <c r="E46" s="85">
        <v>33516.1171875</v>
      </c>
      <c r="F46" s="85">
        <v>-148.73648071289063</v>
      </c>
      <c r="G46" s="85">
        <v>59595.6640625</v>
      </c>
      <c r="H46" s="85">
        <v>0</v>
      </c>
      <c r="I46" s="85">
        <v>110599.6875</v>
      </c>
      <c r="J46" s="85">
        <v>27058.955078125</v>
      </c>
    </row>
    <row r="47" spans="1:10" x14ac:dyDescent="0.2">
      <c r="A47" s="2">
        <v>5</v>
      </c>
      <c r="B47" t="s">
        <v>528</v>
      </c>
      <c r="C47" s="85">
        <v>213399</v>
      </c>
      <c r="D47" s="85">
        <v>6667.01025390625</v>
      </c>
      <c r="E47" s="85">
        <v>91863.5625</v>
      </c>
      <c r="F47" s="85">
        <v>-1839.2791748046875</v>
      </c>
      <c r="G47" s="85">
        <v>136526</v>
      </c>
      <c r="H47" s="85">
        <v>108.89157867431641</v>
      </c>
      <c r="I47" s="85">
        <v>-167153.75</v>
      </c>
      <c r="J47" s="85">
        <v>344287.6875</v>
      </c>
    </row>
    <row r="48" spans="1:10" x14ac:dyDescent="0.2">
      <c r="A48" s="2">
        <v>6</v>
      </c>
      <c r="B48" t="s">
        <v>529</v>
      </c>
      <c r="C48" s="85">
        <v>19865.400390625</v>
      </c>
      <c r="D48" s="85">
        <v>154.56001281738281</v>
      </c>
      <c r="E48" s="85">
        <v>0</v>
      </c>
      <c r="F48" s="85">
        <v>-51.567070007324219</v>
      </c>
      <c r="G48" s="85">
        <v>1217.301513671875</v>
      </c>
      <c r="H48" s="85">
        <v>199.26791381835938</v>
      </c>
      <c r="I48" s="85">
        <v>14446.6953125</v>
      </c>
      <c r="J48" s="85">
        <v>4208.26318359375</v>
      </c>
    </row>
    <row r="49" spans="1:10" x14ac:dyDescent="0.2">
      <c r="A49" s="2">
        <v>7</v>
      </c>
      <c r="B49" t="s">
        <v>530</v>
      </c>
      <c r="C49" s="85">
        <v>11778.2001953125</v>
      </c>
      <c r="D49" s="85">
        <v>88.550003051757813</v>
      </c>
      <c r="E49" s="85">
        <v>0</v>
      </c>
      <c r="F49" s="85">
        <v>-30.011009216308594</v>
      </c>
      <c r="G49" s="85">
        <v>177.953857421875</v>
      </c>
      <c r="H49" s="85">
        <v>0</v>
      </c>
      <c r="I49" s="85">
        <v>9776.22265625</v>
      </c>
      <c r="J49" s="85">
        <v>1942.584228515625</v>
      </c>
    </row>
    <row r="50" spans="1:10" x14ac:dyDescent="0.2">
      <c r="A50" s="2">
        <v>8</v>
      </c>
      <c r="B50" t="s">
        <v>531</v>
      </c>
      <c r="C50" s="85">
        <v>40813.6015625</v>
      </c>
      <c r="D50" s="85">
        <v>170.66000366210938</v>
      </c>
      <c r="E50" s="85">
        <v>0</v>
      </c>
      <c r="F50" s="85">
        <v>-55.812641143798828</v>
      </c>
      <c r="G50" s="85">
        <v>16190.9638671875</v>
      </c>
      <c r="H50" s="85">
        <v>0</v>
      </c>
      <c r="I50" s="85">
        <v>23044.8984375</v>
      </c>
      <c r="J50" s="85">
        <v>1804.2110595703125</v>
      </c>
    </row>
    <row r="51" spans="1:10" x14ac:dyDescent="0.2">
      <c r="A51" s="2">
        <v>9</v>
      </c>
      <c r="B51" t="s">
        <v>532</v>
      </c>
      <c r="C51" s="85">
        <v>51884</v>
      </c>
      <c r="D51" s="85">
        <v>887.1099853515625</v>
      </c>
      <c r="E51" s="85">
        <v>0</v>
      </c>
      <c r="F51" s="85">
        <v>-192.29037475585938</v>
      </c>
      <c r="G51" s="85">
        <v>17406.01171875</v>
      </c>
      <c r="H51" s="85">
        <v>0</v>
      </c>
      <c r="I51" s="85">
        <v>-1033.371826171875</v>
      </c>
      <c r="J51" s="85">
        <v>36590.7578125</v>
      </c>
    </row>
    <row r="52" spans="1:10" x14ac:dyDescent="0.2">
      <c r="A52" s="2">
        <v>10</v>
      </c>
      <c r="B52" t="s">
        <v>533</v>
      </c>
      <c r="C52" s="85">
        <v>4438</v>
      </c>
      <c r="D52" s="85">
        <v>3997.630126953125</v>
      </c>
      <c r="E52" s="85">
        <v>84055.8984375</v>
      </c>
      <c r="F52" s="85">
        <v>-1161.1595458984375</v>
      </c>
      <c r="G52" s="85">
        <v>38886.36328125</v>
      </c>
      <c r="H52" s="85">
        <v>31.679098129272461</v>
      </c>
      <c r="I52" s="85">
        <v>-22111.61328125</v>
      </c>
      <c r="J52" s="85">
        <v>76846.2578125</v>
      </c>
    </row>
    <row r="53" spans="1:10" x14ac:dyDescent="0.2">
      <c r="A53" s="2">
        <v>11</v>
      </c>
      <c r="B53" t="s">
        <v>534</v>
      </c>
      <c r="C53" s="85">
        <v>10293.400390625</v>
      </c>
      <c r="D53" s="85">
        <v>115.91999816894531</v>
      </c>
      <c r="E53" s="85">
        <v>0</v>
      </c>
      <c r="F53" s="85">
        <v>-54.897872924804688</v>
      </c>
      <c r="G53" s="85">
        <v>1603.254150390625</v>
      </c>
      <c r="H53" s="85">
        <v>0</v>
      </c>
      <c r="I53" s="85">
        <v>17539.30078125</v>
      </c>
      <c r="J53" s="85">
        <v>-8678.3369140625</v>
      </c>
    </row>
    <row r="54" spans="1:10" x14ac:dyDescent="0.2">
      <c r="A54" s="2">
        <v>12</v>
      </c>
      <c r="B54" t="s">
        <v>535</v>
      </c>
      <c r="C54" s="85">
        <v>207379</v>
      </c>
      <c r="D54" s="85">
        <v>1447.3900146484375</v>
      </c>
      <c r="E54" s="85">
        <v>0</v>
      </c>
      <c r="F54" s="85">
        <v>-1075.61962890625</v>
      </c>
      <c r="G54" s="85">
        <v>79728.3125</v>
      </c>
      <c r="H54" s="85">
        <v>0</v>
      </c>
      <c r="I54" s="85">
        <v>6970.43505859375</v>
      </c>
      <c r="J54" s="85">
        <v>123203.2578125</v>
      </c>
    </row>
    <row r="55" spans="1:10" x14ac:dyDescent="0.2">
      <c r="A55" s="2">
        <v>13</v>
      </c>
      <c r="B55" t="s">
        <v>536</v>
      </c>
      <c r="C55" s="85">
        <v>29401.19921875</v>
      </c>
      <c r="D55" s="85">
        <v>2988.16015625</v>
      </c>
      <c r="E55" s="85">
        <v>175412.359375</v>
      </c>
      <c r="F55" s="85">
        <v>-803.61248779296875</v>
      </c>
      <c r="G55" s="85">
        <v>-1835.060546875</v>
      </c>
      <c r="H55" s="85">
        <v>181375.4375</v>
      </c>
      <c r="I55" s="85">
        <v>-5395.578125</v>
      </c>
      <c r="J55" s="85">
        <v>34460.53515625</v>
      </c>
    </row>
    <row r="56" spans="1:10" x14ac:dyDescent="0.2">
      <c r="A56" t="s">
        <v>145</v>
      </c>
      <c r="C56" s="85">
        <v>862520.125</v>
      </c>
      <c r="D56" s="85">
        <v>18983.509765625</v>
      </c>
      <c r="E56" s="85">
        <v>0</v>
      </c>
      <c r="F56" s="85">
        <v>-6418.3212890625</v>
      </c>
      <c r="G56" s="85">
        <v>-1835.060546875</v>
      </c>
      <c r="H56" s="85">
        <v>182594.984375</v>
      </c>
      <c r="I56" s="85">
        <v>0</v>
      </c>
      <c r="J56" s="85">
        <v>707162.0625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BDB9C-DD9C-4898-B0A6-827B1E6C6A51}">
  <sheetPr codeName="Sheet14"/>
  <dimension ref="A1:I109"/>
  <sheetViews>
    <sheetView showGridLines="0" workbookViewId="0"/>
  </sheetViews>
  <sheetFormatPr defaultRowHeight="12.75" x14ac:dyDescent="0.2"/>
  <cols>
    <col min="1" max="1" width="21.140625" customWidth="1"/>
  </cols>
  <sheetData>
    <row r="1" spans="1:9" x14ac:dyDescent="0.2">
      <c r="A1" s="9" t="s">
        <v>50</v>
      </c>
      <c r="B1" s="9"/>
    </row>
    <row r="2" spans="1:9" x14ac:dyDescent="0.2">
      <c r="A2" s="9" t="s">
        <v>194</v>
      </c>
      <c r="B2" s="9" t="s">
        <v>37</v>
      </c>
    </row>
    <row r="4" spans="1:9" x14ac:dyDescent="0.2">
      <c r="A4" s="9" t="s">
        <v>87</v>
      </c>
    </row>
    <row r="5" spans="1:9" x14ac:dyDescent="0.2">
      <c r="A5" s="9" t="s">
        <v>88</v>
      </c>
    </row>
    <row r="6" spans="1:9" x14ac:dyDescent="0.2">
      <c r="A6" s="19" t="s">
        <v>32</v>
      </c>
    </row>
    <row r="7" spans="1:9" x14ac:dyDescent="0.2">
      <c r="A7" s="9" t="s">
        <v>89</v>
      </c>
    </row>
    <row r="9" spans="1:9" x14ac:dyDescent="0.2">
      <c r="A9" s="9" t="s">
        <v>84</v>
      </c>
      <c r="B9" s="69">
        <v>8</v>
      </c>
      <c r="C9" s="9" t="s">
        <v>399</v>
      </c>
      <c r="D9" s="9"/>
      <c r="E9" s="9"/>
      <c r="F9" s="9"/>
      <c r="G9" s="9"/>
      <c r="H9" s="9"/>
      <c r="I9" s="9"/>
    </row>
    <row r="10" spans="1:9" x14ac:dyDescent="0.2">
      <c r="A10" s="9"/>
      <c r="B10" s="19" t="s">
        <v>132</v>
      </c>
      <c r="C10" s="9"/>
      <c r="D10" s="19" t="s">
        <v>133</v>
      </c>
      <c r="E10" s="9"/>
      <c r="F10" s="19" t="s">
        <v>134</v>
      </c>
      <c r="G10" s="19" t="s">
        <v>191</v>
      </c>
      <c r="H10" s="9"/>
      <c r="I10" s="9"/>
    </row>
    <row r="11" spans="1:9" x14ac:dyDescent="0.2">
      <c r="A11" s="74" t="s">
        <v>91</v>
      </c>
      <c r="B11" s="75" t="s">
        <v>183</v>
      </c>
      <c r="C11" s="75" t="s">
        <v>184</v>
      </c>
      <c r="D11" s="75" t="s">
        <v>183</v>
      </c>
      <c r="E11" s="75" t="s">
        <v>184</v>
      </c>
      <c r="F11" s="75" t="s">
        <v>92</v>
      </c>
      <c r="G11" s="75" t="s">
        <v>93</v>
      </c>
      <c r="H11" s="75" t="s">
        <v>94</v>
      </c>
      <c r="I11" s="75" t="s">
        <v>95</v>
      </c>
    </row>
    <row r="12" spans="1:9" x14ac:dyDescent="0.2">
      <c r="A12" t="s">
        <v>1</v>
      </c>
      <c r="B12" s="68">
        <v>163.55000305175781</v>
      </c>
      <c r="C12" s="83">
        <v>0.12771323323249817</v>
      </c>
      <c r="D12" s="68">
        <v>169.45672607421875</v>
      </c>
      <c r="E12" s="83">
        <v>0.17370760545556152</v>
      </c>
      <c r="F12" s="83">
        <v>0.96514320373535156</v>
      </c>
      <c r="G12" s="83">
        <v>-0.27780041098594666</v>
      </c>
      <c r="H12" s="83">
        <v>-0.13189141452312469</v>
      </c>
      <c r="I12" s="83">
        <v>-0.16455547511577606</v>
      </c>
    </row>
    <row r="13" spans="1:9" x14ac:dyDescent="0.2">
      <c r="A13" t="s">
        <v>2</v>
      </c>
      <c r="B13" s="68">
        <v>1218.4000244140625</v>
      </c>
      <c r="C13" s="83">
        <v>8.8804580271244049E-2</v>
      </c>
      <c r="D13" s="68">
        <v>1255.1904296875</v>
      </c>
      <c r="E13" s="83">
        <v>0.14312546460615597</v>
      </c>
      <c r="F13" s="83">
        <v>0.97068935632705688</v>
      </c>
      <c r="G13" s="83">
        <v>-0.33499154448509216</v>
      </c>
      <c r="H13" s="83">
        <v>-0.13522173464298248</v>
      </c>
      <c r="I13" s="83">
        <v>-0.17661628127098083</v>
      </c>
    </row>
    <row r="14" spans="1:9" x14ac:dyDescent="0.2">
      <c r="A14" t="s">
        <v>3</v>
      </c>
      <c r="B14" s="68">
        <v>76.12213134765625</v>
      </c>
      <c r="C14" s="83">
        <v>4.7175057232379913E-2</v>
      </c>
      <c r="D14" s="68">
        <v>80.0684814453125</v>
      </c>
      <c r="E14" s="83">
        <v>0.13085079173972583</v>
      </c>
      <c r="F14" s="83">
        <v>0.95071280002593994</v>
      </c>
      <c r="G14" s="83">
        <v>-1.0713979005813599</v>
      </c>
      <c r="H14" s="83">
        <v>-0.25145900249481201</v>
      </c>
      <c r="I14" s="83">
        <v>-0.36337223649024963</v>
      </c>
    </row>
    <row r="15" spans="1:9" x14ac:dyDescent="0.2">
      <c r="A15" t="s">
        <v>4</v>
      </c>
      <c r="B15" s="68">
        <v>13.024999618530273</v>
      </c>
      <c r="C15" s="83">
        <v>0.56232631206512451</v>
      </c>
      <c r="D15" s="68">
        <v>9.6493005752563477</v>
      </c>
      <c r="E15" s="83">
        <v>0.29414139628213598</v>
      </c>
      <c r="F15" s="83">
        <v>1.3498387336730957</v>
      </c>
      <c r="G15" s="83">
        <v>0.53347164392471313</v>
      </c>
      <c r="H15" s="83">
        <v>0.86700910329818726</v>
      </c>
      <c r="I15" s="83">
        <v>0.47270774841308594</v>
      </c>
    </row>
    <row r="16" spans="1:9" x14ac:dyDescent="0.2">
      <c r="A16" t="s">
        <v>5</v>
      </c>
      <c r="B16" s="68">
        <v>0.42000001668930054</v>
      </c>
      <c r="C16" s="83">
        <v>0.27904760837554932</v>
      </c>
      <c r="D16" s="68">
        <v>0.40859556198120117</v>
      </c>
      <c r="E16" s="83">
        <v>0.16008736909448873</v>
      </c>
      <c r="F16" s="83">
        <v>1.0279113054275513</v>
      </c>
      <c r="G16" s="83">
        <v>9.8653003573417664E-2</v>
      </c>
      <c r="H16" s="83">
        <v>9.8317444324493408E-2</v>
      </c>
      <c r="I16" s="83">
        <v>8.5571236908435822E-2</v>
      </c>
    </row>
    <row r="17" spans="1:9" x14ac:dyDescent="0.2">
      <c r="A17" t="s">
        <v>6</v>
      </c>
      <c r="B17" s="68">
        <v>570.75</v>
      </c>
      <c r="C17" s="83">
        <v>7.7789753675460815E-2</v>
      </c>
      <c r="D17" s="68">
        <v>562.129150390625</v>
      </c>
      <c r="E17" s="83">
        <v>0.16337373959482773</v>
      </c>
      <c r="F17" s="83">
        <v>1.0153360366821289</v>
      </c>
      <c r="G17" s="83">
        <v>0.19565080106258392</v>
      </c>
      <c r="H17" s="83">
        <v>6.0878511518239975E-2</v>
      </c>
      <c r="I17" s="83">
        <v>8.4110446274280548E-2</v>
      </c>
    </row>
    <row r="18" spans="1:9" x14ac:dyDescent="0.2">
      <c r="A18" t="s">
        <v>7</v>
      </c>
      <c r="B18" s="68">
        <v>74.5</v>
      </c>
      <c r="C18" s="83">
        <v>0.20176510512828827</v>
      </c>
      <c r="D18" s="68">
        <v>71.342201232910156</v>
      </c>
      <c r="E18" s="83">
        <v>0.19874637137201434</v>
      </c>
      <c r="F18" s="83">
        <v>1.0442626476287842</v>
      </c>
      <c r="G18" s="83">
        <v>0.21466068923473358</v>
      </c>
      <c r="H18" s="83">
        <v>0.11833617091178894</v>
      </c>
      <c r="I18" s="83">
        <v>0.15292774140834808</v>
      </c>
    </row>
    <row r="19" spans="1:9" x14ac:dyDescent="0.2">
      <c r="A19" t="s">
        <v>284</v>
      </c>
      <c r="B19" s="68">
        <v>854.17242431640625</v>
      </c>
      <c r="C19" s="83">
        <v>0.18715895712375641</v>
      </c>
      <c r="D19" s="68">
        <v>760.25146484375</v>
      </c>
      <c r="E19" s="83">
        <v>0.25806681379208801</v>
      </c>
      <c r="F19" s="83">
        <v>1.1235393285751343</v>
      </c>
      <c r="G19" s="83">
        <v>0.62237906455993652</v>
      </c>
      <c r="H19" s="83">
        <v>0.33186271786689758</v>
      </c>
      <c r="I19" s="83">
        <v>0.36539375782012939</v>
      </c>
    </row>
    <row r="20" spans="1:9" x14ac:dyDescent="0.2">
      <c r="A20" t="s">
        <v>286</v>
      </c>
      <c r="B20" s="68">
        <v>2.8467090129852295</v>
      </c>
      <c r="C20" s="83">
        <v>0.185257688164711</v>
      </c>
      <c r="D20" s="68">
        <v>2.6050853729248047</v>
      </c>
      <c r="E20" s="83">
        <v>0.24167909481833544</v>
      </c>
      <c r="F20" s="83">
        <v>1.0927507877349854</v>
      </c>
      <c r="G20" s="83">
        <v>0.47878271341323853</v>
      </c>
      <c r="H20" s="83">
        <v>0.28612315654754639</v>
      </c>
      <c r="I20" s="83">
        <v>0.2912771999835968</v>
      </c>
    </row>
    <row r="21" spans="1:9" x14ac:dyDescent="0.2">
      <c r="A21" t="s">
        <v>288</v>
      </c>
      <c r="B21" s="68">
        <v>7.3241147994995117</v>
      </c>
      <c r="C21" s="83">
        <v>8.1377223134040833E-2</v>
      </c>
      <c r="D21" s="68">
        <v>6.9136042594909668</v>
      </c>
      <c r="E21" s="83">
        <v>0.25345779863877832</v>
      </c>
      <c r="F21" s="83">
        <v>1.0593771934509277</v>
      </c>
      <c r="G21" s="83">
        <v>0.70881235599517822</v>
      </c>
      <c r="H21" s="83">
        <v>0.17802833020687103</v>
      </c>
      <c r="I21" s="83">
        <v>0.21668259799480438</v>
      </c>
    </row>
    <row r="23" spans="1:9" x14ac:dyDescent="0.2">
      <c r="A23" s="9" t="s">
        <v>84</v>
      </c>
      <c r="B23" s="69">
        <v>1</v>
      </c>
      <c r="C23" s="9" t="s">
        <v>118</v>
      </c>
      <c r="D23" s="9"/>
      <c r="E23" s="9"/>
      <c r="F23" s="9"/>
      <c r="G23" s="9"/>
      <c r="H23" s="9"/>
      <c r="I23" s="9"/>
    </row>
    <row r="24" spans="1:9" x14ac:dyDescent="0.2">
      <c r="A24" s="9"/>
      <c r="B24" s="19" t="s">
        <v>132</v>
      </c>
      <c r="C24" s="9"/>
      <c r="D24" s="19" t="s">
        <v>133</v>
      </c>
      <c r="E24" s="9"/>
      <c r="F24" s="19" t="s">
        <v>134</v>
      </c>
      <c r="G24" s="19" t="s">
        <v>191</v>
      </c>
      <c r="H24" s="9"/>
      <c r="I24" s="9"/>
    </row>
    <row r="25" spans="1:9" x14ac:dyDescent="0.2">
      <c r="A25" s="74" t="s">
        <v>91</v>
      </c>
      <c r="B25" s="75" t="s">
        <v>183</v>
      </c>
      <c r="C25" s="75" t="s">
        <v>184</v>
      </c>
      <c r="D25" s="75" t="s">
        <v>183</v>
      </c>
      <c r="E25" s="75" t="s">
        <v>184</v>
      </c>
      <c r="F25" s="75" t="s">
        <v>92</v>
      </c>
      <c r="G25" s="75" t="s">
        <v>93</v>
      </c>
      <c r="H25" s="75" t="s">
        <v>94</v>
      </c>
      <c r="I25" s="75" t="s">
        <v>95</v>
      </c>
    </row>
    <row r="26" spans="1:9" x14ac:dyDescent="0.2">
      <c r="A26" t="s">
        <v>1</v>
      </c>
      <c r="B26" s="68">
        <v>367</v>
      </c>
      <c r="C26" s="83">
        <v>9.0000003576278687E-2</v>
      </c>
      <c r="D26" s="68">
        <v>308.93423461914063</v>
      </c>
      <c r="E26" s="83">
        <v>0.25225286613798892</v>
      </c>
      <c r="F26" s="83">
        <v>1.1879551410675049</v>
      </c>
      <c r="G26" s="83">
        <v>1.9137051105499268</v>
      </c>
      <c r="H26" s="83">
        <v>0.64027309417724609</v>
      </c>
      <c r="I26" s="83">
        <v>0.64307636022567749</v>
      </c>
    </row>
    <row r="27" spans="1:9" x14ac:dyDescent="0.2">
      <c r="A27" t="s">
        <v>2</v>
      </c>
      <c r="B27" s="68">
        <v>1575</v>
      </c>
      <c r="C27" s="83">
        <v>0.15000000596046448</v>
      </c>
      <c r="D27" s="68">
        <v>1554.3240966796875</v>
      </c>
      <c r="E27" s="83">
        <v>0.18780694419991906</v>
      </c>
      <c r="F27" s="83">
        <v>1.013302206993103</v>
      </c>
      <c r="G27" s="83">
        <v>8.8096730411052704E-2</v>
      </c>
      <c r="H27" s="83">
        <v>6.0065954923629761E-2</v>
      </c>
      <c r="I27" s="83">
        <v>5.4978694766759872E-2</v>
      </c>
    </row>
    <row r="28" spans="1:9" x14ac:dyDescent="0.2">
      <c r="A28" t="s">
        <v>3</v>
      </c>
      <c r="B28" s="68">
        <v>112.98271179199219</v>
      </c>
      <c r="C28" s="83">
        <v>0.13533197343349457</v>
      </c>
      <c r="D28" s="68">
        <v>109.43815612792969</v>
      </c>
      <c r="E28" s="83">
        <v>0.19696735068666724</v>
      </c>
      <c r="F28" s="83">
        <v>1.0323886871337891</v>
      </c>
      <c r="G28" s="83">
        <v>0.23553362488746643</v>
      </c>
      <c r="H28" s="83">
        <v>0.15858323872089386</v>
      </c>
      <c r="I28" s="83">
        <v>0.13338097929954529</v>
      </c>
    </row>
    <row r="29" spans="1:9" x14ac:dyDescent="0.2">
      <c r="A29" t="s">
        <v>4</v>
      </c>
      <c r="B29" s="68">
        <v>62</v>
      </c>
      <c r="C29" s="83">
        <v>0.62000000476837158</v>
      </c>
      <c r="D29" s="68">
        <v>40.111030578613281</v>
      </c>
      <c r="E29" s="83">
        <v>0.36102909403489136</v>
      </c>
      <c r="F29" s="83">
        <v>1.545709490776062</v>
      </c>
      <c r="G29" s="83">
        <v>0.70239192247390747</v>
      </c>
      <c r="H29" s="83">
        <v>1.2586214542388916</v>
      </c>
      <c r="I29" s="83">
        <v>0.60698282718658447</v>
      </c>
    </row>
    <row r="30" spans="1:9" x14ac:dyDescent="0.2">
      <c r="A30" t="s">
        <v>5</v>
      </c>
      <c r="B30" s="68">
        <v>0.20000000298023224</v>
      </c>
      <c r="C30" s="83">
        <v>0.18999999761581421</v>
      </c>
      <c r="D30" s="68">
        <v>0.22457900643348694</v>
      </c>
      <c r="E30" s="83">
        <v>0.2876548175619954</v>
      </c>
      <c r="F30" s="83">
        <v>0.89055520296096802</v>
      </c>
      <c r="G30" s="83">
        <v>-0.61005359888076782</v>
      </c>
      <c r="H30" s="83">
        <v>-0.41396495699882507</v>
      </c>
      <c r="I30" s="83">
        <v>-0.33622545003890991</v>
      </c>
    </row>
    <row r="31" spans="1:9" x14ac:dyDescent="0.2">
      <c r="A31" t="s">
        <v>6</v>
      </c>
      <c r="B31" s="68">
        <v>856</v>
      </c>
      <c r="C31" s="83">
        <v>0.14000000059604645</v>
      </c>
      <c r="D31" s="68">
        <v>1331.3165283203125</v>
      </c>
      <c r="E31" s="83">
        <v>0.25291450357171819</v>
      </c>
      <c r="F31" s="83">
        <v>0.64297258853912354</v>
      </c>
      <c r="G31" s="83">
        <v>-3.1546657085418701</v>
      </c>
      <c r="H31" s="83">
        <v>-1.7666127681732178</v>
      </c>
      <c r="I31" s="83">
        <v>-1.527802586555481</v>
      </c>
    </row>
    <row r="32" spans="1:9" x14ac:dyDescent="0.2">
      <c r="A32" t="s">
        <v>7</v>
      </c>
      <c r="B32" s="68">
        <v>250</v>
      </c>
      <c r="C32" s="83">
        <v>0.15999999642372131</v>
      </c>
      <c r="D32" s="68">
        <v>149.06263732910156</v>
      </c>
      <c r="E32" s="83">
        <v>0.25241285632886878</v>
      </c>
      <c r="F32" s="83">
        <v>1.6771472692489624</v>
      </c>
      <c r="G32" s="83">
        <v>3.2318394184112549</v>
      </c>
      <c r="H32" s="83">
        <v>1.4128260612487793</v>
      </c>
      <c r="I32" s="83">
        <v>1.7302714586257935</v>
      </c>
    </row>
    <row r="33" spans="1:9" x14ac:dyDescent="0.2">
      <c r="A33" t="s">
        <v>284</v>
      </c>
      <c r="B33" s="68">
        <v>3749.39208984375</v>
      </c>
      <c r="C33" s="83">
        <v>0.3644433319568634</v>
      </c>
      <c r="D33" s="68">
        <v>3207.093017578125</v>
      </c>
      <c r="E33" s="83">
        <v>0.36594105221943884</v>
      </c>
      <c r="F33" s="83">
        <v>1.1690936088562012</v>
      </c>
      <c r="G33" s="83">
        <v>0.4286777675151825</v>
      </c>
      <c r="H33" s="83">
        <v>0.44509613513946533</v>
      </c>
      <c r="I33" s="83">
        <v>0.30249872803688049</v>
      </c>
    </row>
    <row r="34" spans="1:9" x14ac:dyDescent="0.2">
      <c r="A34" t="s">
        <v>286</v>
      </c>
      <c r="B34" s="68">
        <v>6.5561285018920898</v>
      </c>
      <c r="C34" s="83">
        <v>0.44540819525718689</v>
      </c>
      <c r="D34" s="68">
        <v>5.679084300994873</v>
      </c>
      <c r="E34" s="83">
        <v>0.35994548389307973</v>
      </c>
      <c r="F34" s="83">
        <v>1.1544340848922729</v>
      </c>
      <c r="G34" s="83">
        <v>0.32242390513420105</v>
      </c>
      <c r="H34" s="83">
        <v>0.46325889229774475</v>
      </c>
      <c r="I34" s="83">
        <v>0.25077378749847412</v>
      </c>
    </row>
    <row r="35" spans="1:9" x14ac:dyDescent="0.2">
      <c r="A35" t="s">
        <v>288</v>
      </c>
      <c r="B35" s="68">
        <v>3.88283371925354</v>
      </c>
      <c r="C35" s="83">
        <v>0.18740659952163696</v>
      </c>
      <c r="D35" s="68">
        <v>4.5457057952880859</v>
      </c>
      <c r="E35" s="83">
        <v>0.24733476557665873</v>
      </c>
      <c r="F35" s="83">
        <v>0.85417622327804565</v>
      </c>
      <c r="G35" s="83">
        <v>-0.84104704856872559</v>
      </c>
      <c r="H35" s="83">
        <v>-0.48647457361221313</v>
      </c>
      <c r="I35" s="83">
        <v>-0.50792741775512695</v>
      </c>
    </row>
    <row r="37" spans="1:9" x14ac:dyDescent="0.2">
      <c r="A37" s="9" t="s">
        <v>84</v>
      </c>
      <c r="B37" s="69">
        <v>2</v>
      </c>
      <c r="C37" s="9" t="s">
        <v>119</v>
      </c>
      <c r="D37" s="9"/>
      <c r="E37" s="9"/>
      <c r="F37" s="9"/>
      <c r="G37" s="9"/>
      <c r="H37" s="9"/>
      <c r="I37" s="9"/>
    </row>
    <row r="38" spans="1:9" x14ac:dyDescent="0.2">
      <c r="A38" s="9"/>
      <c r="B38" s="19" t="s">
        <v>132</v>
      </c>
      <c r="C38" s="9"/>
      <c r="D38" s="19" t="s">
        <v>133</v>
      </c>
      <c r="E38" s="9"/>
      <c r="F38" s="19" t="s">
        <v>134</v>
      </c>
      <c r="G38" s="19" t="s">
        <v>191</v>
      </c>
      <c r="H38" s="9"/>
      <c r="I38" s="9"/>
    </row>
    <row r="39" spans="1:9" x14ac:dyDescent="0.2">
      <c r="A39" s="74" t="s">
        <v>91</v>
      </c>
      <c r="B39" s="75" t="s">
        <v>183</v>
      </c>
      <c r="C39" s="75" t="s">
        <v>184</v>
      </c>
      <c r="D39" s="75" t="s">
        <v>183</v>
      </c>
      <c r="E39" s="75" t="s">
        <v>184</v>
      </c>
      <c r="F39" s="75" t="s">
        <v>92</v>
      </c>
      <c r="G39" s="75" t="s">
        <v>93</v>
      </c>
      <c r="H39" s="75" t="s">
        <v>94</v>
      </c>
      <c r="I39" s="75" t="s">
        <v>95</v>
      </c>
    </row>
    <row r="41" spans="1:9" x14ac:dyDescent="0.2">
      <c r="A41" s="9" t="s">
        <v>84</v>
      </c>
      <c r="B41" s="69">
        <v>3</v>
      </c>
      <c r="C41" s="9" t="s">
        <v>120</v>
      </c>
      <c r="D41" s="9"/>
      <c r="E41" s="9"/>
      <c r="F41" s="9"/>
      <c r="G41" s="9"/>
      <c r="H41" s="9"/>
      <c r="I41" s="9"/>
    </row>
    <row r="42" spans="1:9" x14ac:dyDescent="0.2">
      <c r="A42" s="9"/>
      <c r="B42" s="19" t="s">
        <v>132</v>
      </c>
      <c r="C42" s="9"/>
      <c r="D42" s="19" t="s">
        <v>133</v>
      </c>
      <c r="E42" s="9"/>
      <c r="F42" s="19" t="s">
        <v>134</v>
      </c>
      <c r="G42" s="19" t="s">
        <v>191</v>
      </c>
      <c r="H42" s="9"/>
      <c r="I42" s="9"/>
    </row>
    <row r="43" spans="1:9" x14ac:dyDescent="0.2">
      <c r="A43" s="74" t="s">
        <v>91</v>
      </c>
      <c r="B43" s="75" t="s">
        <v>183</v>
      </c>
      <c r="C43" s="75" t="s">
        <v>184</v>
      </c>
      <c r="D43" s="75" t="s">
        <v>183</v>
      </c>
      <c r="E43" s="75" t="s">
        <v>184</v>
      </c>
      <c r="F43" s="75" t="s">
        <v>92</v>
      </c>
      <c r="G43" s="75" t="s">
        <v>93</v>
      </c>
      <c r="H43" s="75" t="s">
        <v>94</v>
      </c>
      <c r="I43" s="75" t="s">
        <v>95</v>
      </c>
    </row>
    <row r="44" spans="1:9" x14ac:dyDescent="0.2">
      <c r="A44" t="s">
        <v>1</v>
      </c>
      <c r="B44" s="68">
        <v>149</v>
      </c>
      <c r="C44" s="83">
        <v>0.14000000059604645</v>
      </c>
      <c r="D44" s="68">
        <v>153.12525939941406</v>
      </c>
      <c r="E44" s="83">
        <v>0.21021544007362586</v>
      </c>
      <c r="F44" s="83">
        <v>0.97305959463119507</v>
      </c>
      <c r="G44" s="83">
        <v>-0.19507107138633728</v>
      </c>
      <c r="H44" s="83">
        <v>-0.1015239804983139</v>
      </c>
      <c r="I44" s="83">
        <v>-0.10812915116548538</v>
      </c>
    </row>
    <row r="45" spans="1:9" x14ac:dyDescent="0.2">
      <c r="A45" t="s">
        <v>2</v>
      </c>
      <c r="B45" s="68">
        <v>1303</v>
      </c>
      <c r="C45" s="83">
        <v>5.9999998658895493E-2</v>
      </c>
      <c r="D45" s="68">
        <v>1260.9208984375</v>
      </c>
      <c r="E45" s="83">
        <v>0.17127222351971669</v>
      </c>
      <c r="F45" s="83">
        <v>1.0333716869354248</v>
      </c>
      <c r="G45" s="83">
        <v>0.54711562395095825</v>
      </c>
      <c r="H45" s="83">
        <v>0.14921335875988007</v>
      </c>
      <c r="I45" s="83">
        <v>0.18088683485984802</v>
      </c>
    </row>
    <row r="46" spans="1:9" x14ac:dyDescent="0.2">
      <c r="A46" t="s">
        <v>3</v>
      </c>
      <c r="B46" s="68">
        <v>80.749786376953125</v>
      </c>
      <c r="C46" s="83">
        <v>9.1363482177257538E-2</v>
      </c>
      <c r="D46" s="68">
        <v>79.223312377929688</v>
      </c>
      <c r="E46" s="83">
        <v>0.15365549411396087</v>
      </c>
      <c r="F46" s="83">
        <v>1.0192680358886719</v>
      </c>
      <c r="G46" s="83">
        <v>0.20888824760913849</v>
      </c>
      <c r="H46" s="83">
        <v>9.4949036836624146E-2</v>
      </c>
      <c r="I46" s="83">
        <v>0.10675828903913498</v>
      </c>
    </row>
    <row r="47" spans="1:9" x14ac:dyDescent="0.2">
      <c r="A47" t="s">
        <v>4</v>
      </c>
      <c r="B47" s="68">
        <v>2.7999999523162842</v>
      </c>
      <c r="C47" s="83">
        <v>0.47999998927116394</v>
      </c>
      <c r="D47" s="68">
        <v>5.9649505615234375</v>
      </c>
      <c r="E47" s="83">
        <v>0.3877411518273588</v>
      </c>
      <c r="F47" s="83">
        <v>0.46940875053405762</v>
      </c>
      <c r="G47" s="83">
        <v>-1.575586199760437</v>
      </c>
      <c r="H47" s="83">
        <v>-2.1857843399047852</v>
      </c>
      <c r="I47" s="83">
        <v>-1.2256524562835693</v>
      </c>
    </row>
    <row r="48" spans="1:9" x14ac:dyDescent="0.2">
      <c r="A48" t="s">
        <v>5</v>
      </c>
      <c r="B48" s="68">
        <v>0.40000000596046448</v>
      </c>
      <c r="C48" s="83">
        <v>0.30000001192092896</v>
      </c>
      <c r="D48" s="68">
        <v>0.38772857189178467</v>
      </c>
      <c r="E48" s="83">
        <v>0.28925990336905238</v>
      </c>
      <c r="F48" s="83">
        <v>1.0316495895385742</v>
      </c>
      <c r="G48" s="83">
        <v>0.10386354476213455</v>
      </c>
      <c r="H48" s="83">
        <v>0.11128237098455429</v>
      </c>
      <c r="I48" s="83">
        <v>7.4768789112567902E-2</v>
      </c>
    </row>
    <row r="49" spans="1:9" x14ac:dyDescent="0.2">
      <c r="A49" t="s">
        <v>6</v>
      </c>
      <c r="B49" s="68">
        <v>523</v>
      </c>
      <c r="C49" s="83">
        <v>9.0000003576278687E-2</v>
      </c>
      <c r="D49" s="68">
        <v>475.97988891601563</v>
      </c>
      <c r="E49" s="83">
        <v>0.15971643737483987</v>
      </c>
      <c r="F49" s="83">
        <v>1.0987858772277832</v>
      </c>
      <c r="G49" s="83">
        <v>1.0467312335968018</v>
      </c>
      <c r="H49" s="83">
        <v>0.37682327628135681</v>
      </c>
      <c r="I49" s="83">
        <v>0.51386344432830811</v>
      </c>
    </row>
    <row r="50" spans="1:9" x14ac:dyDescent="0.2">
      <c r="A50" t="s">
        <v>7</v>
      </c>
      <c r="B50" s="68">
        <v>48</v>
      </c>
      <c r="C50" s="83">
        <v>0.2199999988079071</v>
      </c>
      <c r="D50" s="68">
        <v>64.108612060546875</v>
      </c>
      <c r="E50" s="83">
        <v>0.288075357531899</v>
      </c>
      <c r="F50" s="83">
        <v>0.74872934818267822</v>
      </c>
      <c r="G50" s="83">
        <v>-1.3153532743453979</v>
      </c>
      <c r="H50" s="83">
        <v>-0.79064953327178955</v>
      </c>
      <c r="I50" s="83">
        <v>-0.7983405590057373</v>
      </c>
    </row>
    <row r="51" spans="1:9" x14ac:dyDescent="0.2">
      <c r="A51" t="s">
        <v>284</v>
      </c>
      <c r="B51" s="68">
        <v>334.31405639648438</v>
      </c>
      <c r="C51" s="83">
        <v>0.30490678548812866</v>
      </c>
      <c r="D51" s="68">
        <v>493.18472290039063</v>
      </c>
      <c r="E51" s="83">
        <v>0.25717814434290243</v>
      </c>
      <c r="F51" s="83">
        <v>0.6778678297996521</v>
      </c>
      <c r="G51" s="83">
        <v>-1.2751535177230835</v>
      </c>
      <c r="H51" s="83">
        <v>-1.1077007055282593</v>
      </c>
      <c r="I51" s="83">
        <v>-0.97472590208053589</v>
      </c>
    </row>
    <row r="52" spans="1:9" x14ac:dyDescent="0.2">
      <c r="A52" t="s">
        <v>286</v>
      </c>
      <c r="B52" s="68">
        <v>1.2260769605636597</v>
      </c>
      <c r="C52" s="83">
        <v>0.38684695959091187</v>
      </c>
      <c r="D52" s="68">
        <v>1.998676061630249</v>
      </c>
      <c r="E52" s="83">
        <v>0.39907614454983659</v>
      </c>
      <c r="F52" s="83">
        <v>0.61344456672668457</v>
      </c>
      <c r="G52" s="83">
        <v>-1.2632007598876953</v>
      </c>
      <c r="H52" s="83">
        <v>-1.5763398408889771</v>
      </c>
      <c r="I52" s="83">
        <v>-0.87921267747879028</v>
      </c>
    </row>
    <row r="53" spans="1:9" x14ac:dyDescent="0.2">
      <c r="A53" t="s">
        <v>288</v>
      </c>
      <c r="B53" s="68">
        <v>7.7382550239562988</v>
      </c>
      <c r="C53" s="83">
        <v>0.15189632773399353</v>
      </c>
      <c r="D53" s="68">
        <v>7.254981517791748</v>
      </c>
      <c r="E53" s="83">
        <v>0.28584004071379121</v>
      </c>
      <c r="F53" s="83">
        <v>1.0666126012802124</v>
      </c>
      <c r="G53" s="83">
        <v>0.42455166578292847</v>
      </c>
      <c r="H53" s="83">
        <v>0.19903653860092163</v>
      </c>
      <c r="I53" s="83">
        <v>0.19922542572021484</v>
      </c>
    </row>
    <row r="55" spans="1:9" x14ac:dyDescent="0.2">
      <c r="A55" s="9" t="s">
        <v>84</v>
      </c>
      <c r="B55" s="69">
        <v>4</v>
      </c>
      <c r="C55" s="9" t="s">
        <v>121</v>
      </c>
      <c r="D55" s="9"/>
      <c r="E55" s="9"/>
      <c r="F55" s="9"/>
      <c r="G55" s="9"/>
      <c r="H55" s="9"/>
      <c r="I55" s="9"/>
    </row>
    <row r="56" spans="1:9" x14ac:dyDescent="0.2">
      <c r="A56" s="9"/>
      <c r="B56" s="19" t="s">
        <v>132</v>
      </c>
      <c r="C56" s="9"/>
      <c r="D56" s="19" t="s">
        <v>133</v>
      </c>
      <c r="E56" s="9"/>
      <c r="F56" s="19" t="s">
        <v>134</v>
      </c>
      <c r="G56" s="19" t="s">
        <v>191</v>
      </c>
      <c r="H56" s="9"/>
      <c r="I56" s="9"/>
    </row>
    <row r="57" spans="1:9" x14ac:dyDescent="0.2">
      <c r="A57" s="74" t="s">
        <v>91</v>
      </c>
      <c r="B57" s="75" t="s">
        <v>183</v>
      </c>
      <c r="C57" s="75" t="s">
        <v>184</v>
      </c>
      <c r="D57" s="75" t="s">
        <v>183</v>
      </c>
      <c r="E57" s="75" t="s">
        <v>184</v>
      </c>
      <c r="F57" s="75" t="s">
        <v>92</v>
      </c>
      <c r="G57" s="75" t="s">
        <v>93</v>
      </c>
      <c r="H57" s="75" t="s">
        <v>94</v>
      </c>
      <c r="I57" s="75" t="s">
        <v>95</v>
      </c>
    </row>
    <row r="58" spans="1:9" x14ac:dyDescent="0.2">
      <c r="A58" t="s">
        <v>1</v>
      </c>
      <c r="B58" s="68">
        <v>234</v>
      </c>
      <c r="C58" s="83">
        <v>0.10999999940395355</v>
      </c>
      <c r="D58" s="68">
        <v>233.2371826171875</v>
      </c>
      <c r="E58" s="83">
        <v>0.16091628709274985</v>
      </c>
      <c r="F58" s="83">
        <v>1.0032705068588257</v>
      </c>
      <c r="G58" s="83">
        <v>2.9683366417884827E-2</v>
      </c>
      <c r="H58" s="83">
        <v>1.2138180434703827E-2</v>
      </c>
      <c r="I58" s="83">
        <v>1.6751281917095184E-2</v>
      </c>
    </row>
    <row r="59" spans="1:9" x14ac:dyDescent="0.2">
      <c r="A59" t="s">
        <v>2</v>
      </c>
      <c r="B59" s="68">
        <v>1077</v>
      </c>
      <c r="C59" s="83">
        <v>0.11999999731779099</v>
      </c>
      <c r="D59" s="68">
        <v>1291.7747802734375</v>
      </c>
      <c r="E59" s="83">
        <v>0.11119695831061441</v>
      </c>
      <c r="F59" s="83">
        <v>0.83373665809631348</v>
      </c>
      <c r="G59" s="83">
        <v>-1.515313982963562</v>
      </c>
      <c r="H59" s="83">
        <v>-0.8265349268913269</v>
      </c>
      <c r="I59" s="83">
        <v>-1.1114813089370728</v>
      </c>
    </row>
    <row r="60" spans="1:9" x14ac:dyDescent="0.2">
      <c r="A60" t="s">
        <v>3</v>
      </c>
      <c r="B60" s="68">
        <v>73.356010437011719</v>
      </c>
      <c r="C60" s="83">
        <v>0.11751806735992432</v>
      </c>
      <c r="D60" s="68">
        <v>88.099189758300781</v>
      </c>
      <c r="E60" s="83">
        <v>0.11665504927686209</v>
      </c>
      <c r="F60" s="83">
        <v>0.8326525092124939</v>
      </c>
      <c r="G60" s="83">
        <v>-1.5583890676498413</v>
      </c>
      <c r="H60" s="83">
        <v>-0.91113865375518799</v>
      </c>
      <c r="I60" s="83">
        <v>-1.1060011386871338</v>
      </c>
    </row>
    <row r="61" spans="1:9" x14ac:dyDescent="0.2">
      <c r="A61" t="s">
        <v>4</v>
      </c>
      <c r="B61" s="68">
        <v>23.700000762939453</v>
      </c>
      <c r="C61" s="83">
        <v>0.52999997138977051</v>
      </c>
      <c r="D61" s="68">
        <v>13.600377082824707</v>
      </c>
      <c r="E61" s="83">
        <v>0.53771739666419971</v>
      </c>
      <c r="F61" s="83">
        <v>1.7425987720489502</v>
      </c>
      <c r="G61" s="83">
        <v>1.0478821992874146</v>
      </c>
      <c r="H61" s="83">
        <v>1.6051374673843384</v>
      </c>
      <c r="I61" s="83">
        <v>0.73558974266052246</v>
      </c>
    </row>
    <row r="62" spans="1:9" x14ac:dyDescent="0.2">
      <c r="A62" t="s">
        <v>5</v>
      </c>
      <c r="B62" s="68">
        <v>0.20000000298023224</v>
      </c>
      <c r="C62" s="83">
        <v>0.57999998331069946</v>
      </c>
      <c r="D62" s="68">
        <v>0.21063676476478577</v>
      </c>
      <c r="E62" s="83">
        <v>0.57686398695937857</v>
      </c>
      <c r="F62" s="83">
        <v>0.94950187206268311</v>
      </c>
      <c r="G62" s="83">
        <v>-8.9340999722480774E-2</v>
      </c>
      <c r="H62" s="83">
        <v>-0.18506349623203278</v>
      </c>
      <c r="I62" s="83">
        <v>-6.3344642519950867E-2</v>
      </c>
    </row>
    <row r="63" spans="1:9" x14ac:dyDescent="0.2">
      <c r="A63" t="s">
        <v>6</v>
      </c>
      <c r="B63" s="68">
        <v>700</v>
      </c>
      <c r="C63" s="83">
        <v>5.9999998658895493E-2</v>
      </c>
      <c r="D63" s="68">
        <v>798.97332763671875</v>
      </c>
      <c r="E63" s="83">
        <v>0.19770120528704038</v>
      </c>
      <c r="F63" s="83">
        <v>0.87612438201904297</v>
      </c>
      <c r="G63" s="83">
        <v>-2.2041201591491699</v>
      </c>
      <c r="H63" s="83">
        <v>-0.52898883819580078</v>
      </c>
      <c r="I63" s="83">
        <v>-0.64009577035903931</v>
      </c>
    </row>
    <row r="64" spans="1:9" x14ac:dyDescent="0.2">
      <c r="A64" t="s">
        <v>7</v>
      </c>
      <c r="B64" s="68">
        <v>148</v>
      </c>
      <c r="C64" s="83">
        <v>0.23999999463558197</v>
      </c>
      <c r="D64" s="68">
        <v>124.56641387939453</v>
      </c>
      <c r="E64" s="83">
        <v>0.49592531738758705</v>
      </c>
      <c r="F64" s="83">
        <v>1.1881211996078491</v>
      </c>
      <c r="G64" s="83">
        <v>0.71822184324264526</v>
      </c>
      <c r="H64" s="83">
        <v>0.47096511721611023</v>
      </c>
      <c r="I64" s="83">
        <v>0.31286755204200745</v>
      </c>
    </row>
    <row r="65" spans="1:9" x14ac:dyDescent="0.2">
      <c r="A65" t="s">
        <v>284</v>
      </c>
      <c r="B65" s="68">
        <v>1591.7012939453125</v>
      </c>
      <c r="C65" s="83">
        <v>0.40314444899559021</v>
      </c>
      <c r="D65" s="68">
        <v>1332.1702880859375</v>
      </c>
      <c r="E65" s="83">
        <v>0.26266205095886558</v>
      </c>
      <c r="F65" s="83">
        <v>1.1948181390762329</v>
      </c>
      <c r="G65" s="83">
        <v>0.44151416420936584</v>
      </c>
      <c r="H65" s="83">
        <v>0.50710535049438477</v>
      </c>
      <c r="I65" s="83">
        <v>0.36992532014846802</v>
      </c>
    </row>
    <row r="66" spans="1:9" x14ac:dyDescent="0.2">
      <c r="A66" t="s">
        <v>286</v>
      </c>
      <c r="B66" s="68">
        <v>3.5742874145507813</v>
      </c>
      <c r="C66" s="83">
        <v>0.53388345241546631</v>
      </c>
      <c r="D66" s="68">
        <v>2.4843723773956299</v>
      </c>
      <c r="E66" s="83">
        <v>0.70538136472975177</v>
      </c>
      <c r="F66" s="83">
        <v>1.4387084245681763</v>
      </c>
      <c r="G66" s="83">
        <v>0.68132054805755615</v>
      </c>
      <c r="H66" s="83">
        <v>1.1733734607696533</v>
      </c>
      <c r="I66" s="83">
        <v>0.41117772459983826</v>
      </c>
    </row>
    <row r="67" spans="1:9" x14ac:dyDescent="0.2">
      <c r="A67" t="s">
        <v>288</v>
      </c>
      <c r="B67" s="68">
        <v>3.961538553237915</v>
      </c>
      <c r="C67" s="83">
        <v>0.17562071979045868</v>
      </c>
      <c r="D67" s="68">
        <v>4.8953375816345215</v>
      </c>
      <c r="E67" s="83">
        <v>0.17144605889529693</v>
      </c>
      <c r="F67" s="83">
        <v>0.80924725532531738</v>
      </c>
      <c r="G67" s="83">
        <v>-1.2051583528518677</v>
      </c>
      <c r="H67" s="83">
        <v>-0.65324312448501587</v>
      </c>
      <c r="I67" s="83">
        <v>-0.86236357688903809</v>
      </c>
    </row>
    <row r="69" spans="1:9" x14ac:dyDescent="0.2">
      <c r="A69" s="9" t="s">
        <v>84</v>
      </c>
      <c r="B69" s="69">
        <v>5</v>
      </c>
      <c r="C69" s="9" t="s">
        <v>122</v>
      </c>
      <c r="D69" s="9"/>
      <c r="E69" s="9"/>
      <c r="F69" s="9"/>
      <c r="G69" s="9"/>
      <c r="H69" s="9"/>
      <c r="I69" s="9"/>
    </row>
    <row r="70" spans="1:9" x14ac:dyDescent="0.2">
      <c r="A70" s="9"/>
      <c r="B70" s="19" t="s">
        <v>132</v>
      </c>
      <c r="C70" s="9"/>
      <c r="D70" s="19" t="s">
        <v>133</v>
      </c>
      <c r="E70" s="9"/>
      <c r="F70" s="19" t="s">
        <v>134</v>
      </c>
      <c r="G70" s="19" t="s">
        <v>191</v>
      </c>
      <c r="H70" s="9"/>
      <c r="I70" s="9"/>
    </row>
    <row r="71" spans="1:9" x14ac:dyDescent="0.2">
      <c r="A71" s="74" t="s">
        <v>91</v>
      </c>
      <c r="B71" s="75" t="s">
        <v>183</v>
      </c>
      <c r="C71" s="75" t="s">
        <v>184</v>
      </c>
      <c r="D71" s="75" t="s">
        <v>183</v>
      </c>
      <c r="E71" s="75" t="s">
        <v>184</v>
      </c>
      <c r="F71" s="75" t="s">
        <v>92</v>
      </c>
      <c r="G71" s="75" t="s">
        <v>93</v>
      </c>
      <c r="H71" s="75" t="s">
        <v>94</v>
      </c>
      <c r="I71" s="75" t="s">
        <v>95</v>
      </c>
    </row>
    <row r="72" spans="1:9" x14ac:dyDescent="0.2">
      <c r="A72" t="s">
        <v>1</v>
      </c>
      <c r="B72" s="68">
        <v>130</v>
      </c>
      <c r="C72" s="83">
        <v>0.15000000596046448</v>
      </c>
      <c r="D72" s="68">
        <v>153.41615295410156</v>
      </c>
      <c r="E72" s="83">
        <v>0.17774277845137965</v>
      </c>
      <c r="F72" s="83">
        <v>0.84736841917037964</v>
      </c>
      <c r="G72" s="83">
        <v>-1.1041313409805298</v>
      </c>
      <c r="H72" s="83">
        <v>-0.61568671464920044</v>
      </c>
      <c r="I72" s="83">
        <v>-0.71210414171218872</v>
      </c>
    </row>
    <row r="73" spans="1:9" x14ac:dyDescent="0.2">
      <c r="A73" t="s">
        <v>2</v>
      </c>
      <c r="B73" s="68">
        <v>1099</v>
      </c>
      <c r="C73" s="83">
        <v>9.0000003576278687E-2</v>
      </c>
      <c r="D73" s="68">
        <v>1167.480224609375</v>
      </c>
      <c r="E73" s="83">
        <v>0.1189513669267859</v>
      </c>
      <c r="F73" s="83">
        <v>0.94134354591369629</v>
      </c>
      <c r="G73" s="83">
        <v>-0.67163461446762085</v>
      </c>
      <c r="H73" s="83">
        <v>-0.27475962042808533</v>
      </c>
      <c r="I73" s="83">
        <v>-0.40524360537528992</v>
      </c>
    </row>
    <row r="74" spans="1:9" x14ac:dyDescent="0.2">
      <c r="A74" t="s">
        <v>3</v>
      </c>
      <c r="B74" s="68">
        <v>67.563743591308594</v>
      </c>
      <c r="C74" s="83">
        <v>0.11269430071115494</v>
      </c>
      <c r="D74" s="68">
        <v>74.210227966308594</v>
      </c>
      <c r="E74" s="83">
        <v>0.11366872561207472</v>
      </c>
      <c r="F74" s="83">
        <v>0.91043710708618164</v>
      </c>
      <c r="G74" s="83">
        <v>-0.83261048793792725</v>
      </c>
      <c r="H74" s="83">
        <v>-0.4668181836605072</v>
      </c>
      <c r="I74" s="83">
        <v>-0.58620476722717285</v>
      </c>
    </row>
    <row r="75" spans="1:9" x14ac:dyDescent="0.2">
      <c r="A75" t="s">
        <v>4</v>
      </c>
      <c r="B75" s="68">
        <v>7.1999998092651367</v>
      </c>
      <c r="C75" s="83">
        <v>0.61000001430511475</v>
      </c>
      <c r="D75" s="68">
        <v>6.9323534965515137</v>
      </c>
      <c r="E75" s="83">
        <v>0.35706771631838652</v>
      </c>
      <c r="F75" s="83">
        <v>1.0386083126068115</v>
      </c>
      <c r="G75" s="83">
        <v>6.2101077288389206E-2</v>
      </c>
      <c r="H75" s="83">
        <v>0.10948456078767776</v>
      </c>
      <c r="I75" s="83">
        <v>5.3594335913658142E-2</v>
      </c>
    </row>
    <row r="76" spans="1:9" x14ac:dyDescent="0.2">
      <c r="A76" t="s">
        <v>5</v>
      </c>
      <c r="B76" s="68">
        <v>0.40000000596046448</v>
      </c>
      <c r="C76" s="83">
        <v>0.23000000417232513</v>
      </c>
      <c r="D76" s="68">
        <v>0.40107345581054688</v>
      </c>
      <c r="E76" s="83">
        <v>0.23967635277717936</v>
      </c>
      <c r="F76" s="83">
        <v>0.99732357263565063</v>
      </c>
      <c r="G76" s="83">
        <v>-1.165224052965641E-2</v>
      </c>
      <c r="H76" s="83">
        <v>-9.5714833587408066E-3</v>
      </c>
      <c r="I76" s="83">
        <v>-8.0679170787334442E-3</v>
      </c>
    </row>
    <row r="77" spans="1:9" x14ac:dyDescent="0.2">
      <c r="A77" t="s">
        <v>6</v>
      </c>
      <c r="B77" s="68">
        <v>573</v>
      </c>
      <c r="C77" s="83">
        <v>5.000000074505806E-2</v>
      </c>
      <c r="D77" s="68">
        <v>489.753662109375</v>
      </c>
      <c r="E77" s="83">
        <v>0.15974009561780103</v>
      </c>
      <c r="F77" s="83">
        <v>1.1699759960174561</v>
      </c>
      <c r="G77" s="83">
        <v>3.1396644115447998</v>
      </c>
      <c r="H77" s="83">
        <v>0.62793290615081787</v>
      </c>
      <c r="I77" s="83">
        <v>0.93787121772766113</v>
      </c>
    </row>
    <row r="78" spans="1:9" x14ac:dyDescent="0.2">
      <c r="A78" t="s">
        <v>7</v>
      </c>
      <c r="B78" s="68">
        <v>51</v>
      </c>
      <c r="C78" s="83">
        <v>0.15999999642372131</v>
      </c>
      <c r="D78" s="68">
        <v>63.223587036132813</v>
      </c>
      <c r="E78" s="83">
        <v>0.24570515307222535</v>
      </c>
      <c r="F78" s="83">
        <v>0.80666095018386841</v>
      </c>
      <c r="G78" s="83">
        <v>-1.3428239822387695</v>
      </c>
      <c r="H78" s="83">
        <v>-0.58702689409255981</v>
      </c>
      <c r="I78" s="83">
        <v>-0.73276215791702271</v>
      </c>
    </row>
    <row r="79" spans="1:9" x14ac:dyDescent="0.2">
      <c r="A79" t="s">
        <v>284</v>
      </c>
      <c r="B79" s="68">
        <v>525.3955078125</v>
      </c>
      <c r="C79" s="83">
        <v>0.35869279503822327</v>
      </c>
      <c r="D79" s="68">
        <v>512.98199462890625</v>
      </c>
      <c r="E79" s="83">
        <v>0.24660827440333136</v>
      </c>
      <c r="F79" s="83">
        <v>1.0241987705230713</v>
      </c>
      <c r="G79" s="83">
        <v>6.666044145822525E-2</v>
      </c>
      <c r="H79" s="83">
        <v>6.8121418356895447E-2</v>
      </c>
      <c r="I79" s="83">
        <v>5.4930496960878372E-2</v>
      </c>
    </row>
    <row r="80" spans="1:9" x14ac:dyDescent="0.2">
      <c r="A80" t="s">
        <v>286</v>
      </c>
      <c r="B80" s="68">
        <v>2.4741406440734863</v>
      </c>
      <c r="C80" s="83">
        <v>0.44670224189758301</v>
      </c>
      <c r="D80" s="68">
        <v>2.3092846870422363</v>
      </c>
      <c r="E80" s="83">
        <v>0.34454096401347845</v>
      </c>
      <c r="F80" s="83">
        <v>1.0713883638381958</v>
      </c>
      <c r="G80" s="83">
        <v>0.15436534583568573</v>
      </c>
      <c r="H80" s="83">
        <v>0.22243660688400269</v>
      </c>
      <c r="I80" s="83">
        <v>0.12223140895366669</v>
      </c>
    </row>
    <row r="81" spans="1:9" x14ac:dyDescent="0.2">
      <c r="A81" t="s">
        <v>288</v>
      </c>
      <c r="B81" s="68">
        <v>7.3000001907348633</v>
      </c>
      <c r="C81" s="83">
        <v>0.17908483743667603</v>
      </c>
      <c r="D81" s="68">
        <v>6.6321582794189453</v>
      </c>
      <c r="E81" s="83">
        <v>0.22218953538172412</v>
      </c>
      <c r="F81" s="83">
        <v>1.1006975173950195</v>
      </c>
      <c r="G81" s="83">
        <v>0.53574657440185547</v>
      </c>
      <c r="H81" s="83">
        <v>0.29612371325492859</v>
      </c>
      <c r="I81" s="83">
        <v>0.33620214462280273</v>
      </c>
    </row>
    <row r="83" spans="1:9" x14ac:dyDescent="0.2">
      <c r="A83" s="9" t="s">
        <v>84</v>
      </c>
      <c r="B83" s="69">
        <v>6</v>
      </c>
      <c r="C83" s="9" t="s">
        <v>123</v>
      </c>
      <c r="D83" s="9"/>
      <c r="E83" s="9"/>
      <c r="F83" s="9"/>
      <c r="G83" s="9"/>
      <c r="H83" s="9"/>
      <c r="I83" s="9"/>
    </row>
    <row r="84" spans="1:9" x14ac:dyDescent="0.2">
      <c r="A84" s="9"/>
      <c r="B84" s="19" t="s">
        <v>132</v>
      </c>
      <c r="C84" s="9"/>
      <c r="D84" s="19" t="s">
        <v>133</v>
      </c>
      <c r="E84" s="9"/>
      <c r="F84" s="19" t="s">
        <v>134</v>
      </c>
      <c r="G84" s="19" t="s">
        <v>191</v>
      </c>
      <c r="H84" s="9"/>
      <c r="I84" s="9"/>
    </row>
    <row r="85" spans="1:9" x14ac:dyDescent="0.2">
      <c r="A85" s="74" t="s">
        <v>91</v>
      </c>
      <c r="B85" s="75" t="s">
        <v>183</v>
      </c>
      <c r="C85" s="75" t="s">
        <v>184</v>
      </c>
      <c r="D85" s="75" t="s">
        <v>183</v>
      </c>
      <c r="E85" s="75" t="s">
        <v>184</v>
      </c>
      <c r="F85" s="75" t="s">
        <v>92</v>
      </c>
      <c r="G85" s="75" t="s">
        <v>93</v>
      </c>
      <c r="H85" s="75" t="s">
        <v>94</v>
      </c>
      <c r="I85" s="75" t="s">
        <v>95</v>
      </c>
    </row>
    <row r="86" spans="1:9" x14ac:dyDescent="0.2">
      <c r="A86" t="s">
        <v>1</v>
      </c>
      <c r="B86" s="68">
        <v>99</v>
      </c>
      <c r="C86" s="83">
        <v>0.12999999523162842</v>
      </c>
      <c r="D86" s="68">
        <v>104.82675170898438</v>
      </c>
      <c r="E86" s="83">
        <v>0.28403773919418734</v>
      </c>
      <c r="F86" s="83">
        <v>0.9444153904914856</v>
      </c>
      <c r="G86" s="83">
        <v>-0.43991675972938538</v>
      </c>
      <c r="H86" s="83">
        <v>-0.21259917318820953</v>
      </c>
      <c r="I86" s="83">
        <v>-0.18307925760746002</v>
      </c>
    </row>
    <row r="87" spans="1:9" x14ac:dyDescent="0.2">
      <c r="A87" t="s">
        <v>2</v>
      </c>
      <c r="B87" s="68">
        <v>1079</v>
      </c>
      <c r="C87" s="83">
        <v>0.10000000149011612</v>
      </c>
      <c r="D87" s="68">
        <v>1077.22021484375</v>
      </c>
      <c r="E87" s="83">
        <v>0.16982446199728379</v>
      </c>
      <c r="F87" s="83">
        <v>1.0016522407531738</v>
      </c>
      <c r="G87" s="83">
        <v>1.6508772969245911E-2</v>
      </c>
      <c r="H87" s="83">
        <v>7.50398775562644E-3</v>
      </c>
      <c r="I87" s="83">
        <v>8.3767054602503777E-3</v>
      </c>
    </row>
    <row r="88" spans="1:9" x14ac:dyDescent="0.2">
      <c r="A88" t="s">
        <v>3</v>
      </c>
      <c r="B88" s="68">
        <v>60.984420776367188</v>
      </c>
      <c r="C88" s="83">
        <v>0.11316485702991486</v>
      </c>
      <c r="D88" s="68">
        <v>62.197517395019531</v>
      </c>
      <c r="E88" s="83">
        <v>0.17632200202038739</v>
      </c>
      <c r="F88" s="83">
        <v>0.98049604892730713</v>
      </c>
      <c r="G88" s="83">
        <v>-0.17405281960964203</v>
      </c>
      <c r="H88" s="83">
        <v>-9.7993344068527222E-2</v>
      </c>
      <c r="I88" s="83">
        <v>-9.4011612236499786E-2</v>
      </c>
    </row>
    <row r="89" spans="1:9" x14ac:dyDescent="0.2">
      <c r="A89" t="s">
        <v>4</v>
      </c>
      <c r="B89" s="68">
        <v>8.6999998092651367</v>
      </c>
      <c r="C89" s="83">
        <v>0.43999999761581421</v>
      </c>
      <c r="D89" s="68">
        <v>6.9231500625610352</v>
      </c>
      <c r="E89" s="83">
        <v>0.36505295561695333</v>
      </c>
      <c r="F89" s="83">
        <v>1.2566533088684082</v>
      </c>
      <c r="G89" s="83">
        <v>0.51920926570892334</v>
      </c>
      <c r="H89" s="83">
        <v>0.66026616096496582</v>
      </c>
      <c r="I89" s="83">
        <v>0.39958745241165161</v>
      </c>
    </row>
    <row r="90" spans="1:9" x14ac:dyDescent="0.2">
      <c r="A90" t="s">
        <v>5</v>
      </c>
      <c r="B90" s="68">
        <v>0.60000002384185791</v>
      </c>
      <c r="C90" s="83">
        <v>0.25</v>
      </c>
      <c r="D90" s="68">
        <v>0.61641687154769897</v>
      </c>
      <c r="E90" s="83">
        <v>0.25983455387660248</v>
      </c>
      <c r="F90" s="83">
        <v>0.97336727380752563</v>
      </c>
      <c r="G90" s="83">
        <v>-0.10797520726919174</v>
      </c>
      <c r="H90" s="83">
        <v>-9.6406437456607819E-2</v>
      </c>
      <c r="I90" s="83">
        <v>-7.4863307178020477E-2</v>
      </c>
    </row>
    <row r="91" spans="1:9" x14ac:dyDescent="0.2">
      <c r="A91" t="s">
        <v>6</v>
      </c>
      <c r="B91" s="68">
        <v>508</v>
      </c>
      <c r="C91" s="83">
        <v>7.0000000298023224E-2</v>
      </c>
      <c r="D91" s="68">
        <v>423.97259521484375</v>
      </c>
      <c r="E91" s="83">
        <v>0.16721080700308857</v>
      </c>
      <c r="F91" s="83">
        <v>1.1981906890869141</v>
      </c>
      <c r="G91" s="83">
        <v>2.5830378532409668</v>
      </c>
      <c r="H91" s="83">
        <v>0.7232506275177002</v>
      </c>
      <c r="I91" s="83">
        <v>0.99746733903884888</v>
      </c>
    </row>
    <row r="92" spans="1:9" x14ac:dyDescent="0.2">
      <c r="A92" t="s">
        <v>7</v>
      </c>
      <c r="B92" s="68">
        <v>37</v>
      </c>
      <c r="C92" s="83">
        <v>0.15000000596046448</v>
      </c>
      <c r="D92" s="68">
        <v>42.569248199462891</v>
      </c>
      <c r="E92" s="83">
        <v>0.25356071653598022</v>
      </c>
      <c r="F92" s="83">
        <v>0.86917203664779663</v>
      </c>
      <c r="G92" s="83">
        <v>-0.93476134538650513</v>
      </c>
      <c r="H92" s="83">
        <v>-0.38309893012046814</v>
      </c>
      <c r="I92" s="83">
        <v>-0.47593709826469421</v>
      </c>
    </row>
    <row r="93" spans="1:9" x14ac:dyDescent="0.2">
      <c r="A93" t="s">
        <v>284</v>
      </c>
      <c r="B93" s="68">
        <v>434.34783935546875</v>
      </c>
      <c r="C93" s="83">
        <v>0.27748751640319824</v>
      </c>
      <c r="D93" s="68">
        <v>358.18856811523438</v>
      </c>
      <c r="E93" s="83">
        <v>0.28287069591430342</v>
      </c>
      <c r="F93" s="83">
        <v>1.2126233577728271</v>
      </c>
      <c r="G93" s="83">
        <v>0.69475585222244263</v>
      </c>
      <c r="H93" s="83">
        <v>0.5492480993270874</v>
      </c>
      <c r="I93" s="83">
        <v>0.48652470111846924</v>
      </c>
    </row>
    <row r="94" spans="1:9" x14ac:dyDescent="0.2">
      <c r="A94" t="s">
        <v>286</v>
      </c>
      <c r="B94" s="68">
        <v>3.713120698928833</v>
      </c>
      <c r="C94" s="83">
        <v>0.34640145301818848</v>
      </c>
      <c r="D94" s="68">
        <v>3.1248538494110107</v>
      </c>
      <c r="E94" s="83">
        <v>0.3607745220909529</v>
      </c>
      <c r="F94" s="83">
        <v>1.1882542371749878</v>
      </c>
      <c r="G94" s="83">
        <v>0.49793440103530884</v>
      </c>
      <c r="H94" s="83">
        <v>0.55640387535095215</v>
      </c>
      <c r="I94" s="83">
        <v>0.34486544132232666</v>
      </c>
    </row>
    <row r="95" spans="1:9" x14ac:dyDescent="0.2">
      <c r="A95" t="s">
        <v>288</v>
      </c>
      <c r="B95" s="68">
        <v>9.3838386535644531</v>
      </c>
      <c r="C95" s="83">
        <v>0.17152215540409088</v>
      </c>
      <c r="D95" s="68">
        <v>8.8452634811401367</v>
      </c>
      <c r="E95" s="83">
        <v>0.31922396379561785</v>
      </c>
      <c r="F95" s="83">
        <v>1.0608885288238525</v>
      </c>
      <c r="G95" s="83">
        <v>0.34460151195526123</v>
      </c>
      <c r="H95" s="83">
        <v>0.18242837488651276</v>
      </c>
      <c r="I95" s="83">
        <v>0.16310440003871918</v>
      </c>
    </row>
    <row r="97" spans="1:9" x14ac:dyDescent="0.2">
      <c r="A97" s="9" t="s">
        <v>84</v>
      </c>
      <c r="B97" s="69">
        <v>7</v>
      </c>
      <c r="C97" s="9" t="s">
        <v>124</v>
      </c>
      <c r="D97" s="9"/>
      <c r="E97" s="9"/>
      <c r="F97" s="9"/>
      <c r="G97" s="9"/>
      <c r="H97" s="9"/>
      <c r="I97" s="9"/>
    </row>
    <row r="98" spans="1:9" x14ac:dyDescent="0.2">
      <c r="A98" s="9"/>
      <c r="B98" s="19" t="s">
        <v>132</v>
      </c>
      <c r="C98" s="9"/>
      <c r="D98" s="19" t="s">
        <v>133</v>
      </c>
      <c r="E98" s="9"/>
      <c r="F98" s="19" t="s">
        <v>134</v>
      </c>
      <c r="G98" s="19" t="s">
        <v>191</v>
      </c>
      <c r="H98" s="9"/>
      <c r="I98" s="9"/>
    </row>
    <row r="99" spans="1:9" x14ac:dyDescent="0.2">
      <c r="A99" s="74" t="s">
        <v>91</v>
      </c>
      <c r="B99" s="75" t="s">
        <v>183</v>
      </c>
      <c r="C99" s="75" t="s">
        <v>184</v>
      </c>
      <c r="D99" s="75" t="s">
        <v>183</v>
      </c>
      <c r="E99" s="75" t="s">
        <v>184</v>
      </c>
      <c r="F99" s="75" t="s">
        <v>92</v>
      </c>
      <c r="G99" s="75" t="s">
        <v>93</v>
      </c>
      <c r="H99" s="75" t="s">
        <v>94</v>
      </c>
      <c r="I99" s="75" t="s">
        <v>95</v>
      </c>
    </row>
    <row r="100" spans="1:9" x14ac:dyDescent="0.2">
      <c r="A100" t="s">
        <v>1</v>
      </c>
      <c r="B100" s="68">
        <v>145</v>
      </c>
      <c r="C100" s="83">
        <v>0.18000000715255737</v>
      </c>
      <c r="D100" s="68">
        <v>132.70794677734375</v>
      </c>
      <c r="E100" s="83">
        <v>0.2387891448369163</v>
      </c>
      <c r="F100" s="83">
        <v>1.0926249027252197</v>
      </c>
      <c r="G100" s="83">
        <v>0.49212759733200073</v>
      </c>
      <c r="H100" s="83">
        <v>0.32930472493171692</v>
      </c>
      <c r="I100" s="83">
        <v>0.2962321937084198</v>
      </c>
    </row>
    <row r="101" spans="1:9" x14ac:dyDescent="0.2">
      <c r="A101" t="s">
        <v>2</v>
      </c>
      <c r="B101" s="68">
        <v>1277</v>
      </c>
      <c r="C101" s="83">
        <v>5.000000074505806E-2</v>
      </c>
      <c r="D101" s="68">
        <v>1196.9022216796875</v>
      </c>
      <c r="E101" s="83">
        <v>0.16970562402152986</v>
      </c>
      <c r="F101" s="83">
        <v>1.0669208765029907</v>
      </c>
      <c r="G101" s="83">
        <v>1.2955362796783447</v>
      </c>
      <c r="H101" s="83">
        <v>0.29444006085395813</v>
      </c>
      <c r="I101" s="83">
        <v>0.366140216588974</v>
      </c>
    </row>
    <row r="102" spans="1:9" x14ac:dyDescent="0.2">
      <c r="A102" t="s">
        <v>3</v>
      </c>
      <c r="B102" s="68">
        <v>78.826530456542969</v>
      </c>
      <c r="C102" s="83">
        <v>0.10110220313072205</v>
      </c>
      <c r="D102" s="68">
        <v>72.899978637695313</v>
      </c>
      <c r="E102" s="83">
        <v>0.15602066748190571</v>
      </c>
      <c r="F102" s="83">
        <v>1.0812970399856567</v>
      </c>
      <c r="G102" s="83">
        <v>0.77309179306030273</v>
      </c>
      <c r="H102" s="83">
        <v>0.38886210322380066</v>
      </c>
      <c r="I102" s="83">
        <v>0.42041581869125366</v>
      </c>
    </row>
    <row r="103" spans="1:9" x14ac:dyDescent="0.2">
      <c r="A103" t="s">
        <v>4</v>
      </c>
      <c r="B103" s="68">
        <v>3.5999999046325684</v>
      </c>
      <c r="C103" s="83">
        <v>0.56999999284744263</v>
      </c>
      <c r="D103" s="68">
        <v>5.500551700592041</v>
      </c>
      <c r="E103" s="83">
        <v>0.38276986336919999</v>
      </c>
      <c r="F103" s="83">
        <v>0.65447980165481567</v>
      </c>
      <c r="G103" s="83">
        <v>-0.7437097430229187</v>
      </c>
      <c r="H103" s="83">
        <v>-1.2251865863800049</v>
      </c>
      <c r="I103" s="83">
        <v>-0.61741572618484497</v>
      </c>
    </row>
    <row r="104" spans="1:9" x14ac:dyDescent="0.2">
      <c r="A104" t="s">
        <v>5</v>
      </c>
      <c r="B104" s="68">
        <v>0.5</v>
      </c>
      <c r="C104" s="83">
        <v>0.28999999165534973</v>
      </c>
      <c r="D104" s="68">
        <v>0.48839721083641052</v>
      </c>
      <c r="E104" s="83">
        <v>0.28202569051515214</v>
      </c>
      <c r="F104" s="83">
        <v>1.0237568616867065</v>
      </c>
      <c r="G104" s="83">
        <v>8.0962277948856354E-2</v>
      </c>
      <c r="H104" s="83">
        <v>8.3853781223297119E-2</v>
      </c>
      <c r="I104" s="83">
        <v>5.8041412383317947E-2</v>
      </c>
    </row>
    <row r="105" spans="1:9" x14ac:dyDescent="0.2">
      <c r="A105" t="s">
        <v>6</v>
      </c>
      <c r="B105" s="68">
        <v>453</v>
      </c>
      <c r="C105" s="83">
        <v>1.9999999552965164E-2</v>
      </c>
      <c r="D105" s="68">
        <v>426.23556518554688</v>
      </c>
      <c r="E105" s="83">
        <v>0.15657106125296796</v>
      </c>
      <c r="F105" s="83">
        <v>1.0627925395965576</v>
      </c>
      <c r="G105" s="83">
        <v>3.0449960231781006</v>
      </c>
      <c r="H105" s="83">
        <v>0.24359966814517975</v>
      </c>
      <c r="I105" s="83">
        <v>0.38582524657249451</v>
      </c>
    </row>
    <row r="106" spans="1:9" x14ac:dyDescent="0.2">
      <c r="A106" t="s">
        <v>7</v>
      </c>
      <c r="B106" s="68">
        <v>34</v>
      </c>
      <c r="C106" s="83">
        <v>0.5</v>
      </c>
      <c r="D106" s="68">
        <v>50.957981109619141</v>
      </c>
      <c r="E106" s="83">
        <v>0.28045301134723372</v>
      </c>
      <c r="F106" s="83">
        <v>0.66721636056900024</v>
      </c>
      <c r="G106" s="83">
        <v>-0.80928182601928711</v>
      </c>
      <c r="H106" s="83">
        <v>-1.1055762767791748</v>
      </c>
      <c r="I106" s="83">
        <v>-0.70583045482635498</v>
      </c>
    </row>
    <row r="107" spans="1:9" x14ac:dyDescent="0.2">
      <c r="A107" t="s">
        <v>284</v>
      </c>
      <c r="B107" s="68">
        <v>323.72711181640625</v>
      </c>
      <c r="C107" s="83">
        <v>0.34637638926506042</v>
      </c>
      <c r="D107" s="68">
        <v>387.00885009765625</v>
      </c>
      <c r="E107" s="83">
        <v>0.2589210219159484</v>
      </c>
      <c r="F107" s="83">
        <v>0.83648502826690674</v>
      </c>
      <c r="G107" s="83">
        <v>-0.51547002792358398</v>
      </c>
      <c r="H107" s="83">
        <v>-0.50867992639541626</v>
      </c>
      <c r="I107" s="83">
        <v>-0.41286826133728027</v>
      </c>
    </row>
    <row r="108" spans="1:9" x14ac:dyDescent="0.2">
      <c r="A108" t="s">
        <v>286</v>
      </c>
      <c r="B108" s="68">
        <v>1.6644325256347656</v>
      </c>
      <c r="C108" s="83">
        <v>0.43738853931427002</v>
      </c>
      <c r="D108" s="68">
        <v>2.2074694633483887</v>
      </c>
      <c r="E108" s="83">
        <v>0.39129892773362551</v>
      </c>
      <c r="F108" s="83">
        <v>0.75400024652481079</v>
      </c>
      <c r="G108" s="83">
        <v>-0.64556467533111572</v>
      </c>
      <c r="H108" s="83">
        <v>-0.910847008228302</v>
      </c>
      <c r="I108" s="83">
        <v>-0.4811280369758606</v>
      </c>
    </row>
    <row r="109" spans="1:9" x14ac:dyDescent="0.2">
      <c r="A109" t="s">
        <v>288</v>
      </c>
      <c r="B109" s="68">
        <v>7.7724137306213379</v>
      </c>
      <c r="C109" s="83">
        <v>0.18371127545833588</v>
      </c>
      <c r="D109" s="68">
        <v>7.888768196105957</v>
      </c>
      <c r="E109" s="83">
        <v>0.30424995881731659</v>
      </c>
      <c r="F109" s="83">
        <v>0.98525059223175049</v>
      </c>
      <c r="G109" s="83">
        <v>-8.0883778631687164E-2</v>
      </c>
      <c r="H109" s="83">
        <v>-4.5861918479204178E-2</v>
      </c>
      <c r="I109" s="83">
        <v>-4.1808526962995529E-2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AAA0-9A72-4027-B00F-FD2370BE181F}">
  <sheetPr codeName="Sheet15"/>
  <dimension ref="A1:G236"/>
  <sheetViews>
    <sheetView showGridLines="0" workbookViewId="0">
      <selection activeCell="B5" sqref="B5"/>
    </sheetView>
  </sheetViews>
  <sheetFormatPr defaultRowHeight="12.75" x14ac:dyDescent="0.2"/>
  <cols>
    <col min="1" max="1" width="19.28515625" customWidth="1"/>
    <col min="2" max="2" width="11.7109375" customWidth="1"/>
    <col min="3" max="4" width="7.7109375" customWidth="1"/>
    <col min="5" max="5" width="11.7109375" customWidth="1"/>
    <col min="6" max="7" width="7.7109375" customWidth="1"/>
    <col min="8" max="8" width="12.140625" customWidth="1"/>
  </cols>
  <sheetData>
    <row r="1" spans="1:7" x14ac:dyDescent="0.2">
      <c r="A1" s="9" t="s">
        <v>50</v>
      </c>
      <c r="B1" s="9"/>
    </row>
    <row r="2" spans="1:7" x14ac:dyDescent="0.2">
      <c r="A2" s="9" t="s">
        <v>194</v>
      </c>
      <c r="B2" s="9" t="s">
        <v>37</v>
      </c>
    </row>
    <row r="4" spans="1:7" x14ac:dyDescent="0.2">
      <c r="A4" s="9" t="s">
        <v>481</v>
      </c>
    </row>
    <row r="6" spans="1:7" x14ac:dyDescent="0.2">
      <c r="A6" s="9" t="s">
        <v>84</v>
      </c>
      <c r="B6" s="69">
        <v>8</v>
      </c>
      <c r="C6" s="9" t="s">
        <v>399</v>
      </c>
      <c r="D6" s="9"/>
      <c r="E6" s="9"/>
    </row>
    <row r="7" spans="1:7" x14ac:dyDescent="0.2">
      <c r="A7" s="9"/>
      <c r="B7" s="19" t="s">
        <v>107</v>
      </c>
      <c r="C7" s="9"/>
      <c r="D7" s="19"/>
      <c r="E7" s="19" t="s">
        <v>108</v>
      </c>
    </row>
    <row r="8" spans="1:7" x14ac:dyDescent="0.2">
      <c r="A8" s="74" t="s">
        <v>91</v>
      </c>
      <c r="B8" s="75" t="s">
        <v>183</v>
      </c>
      <c r="C8" s="75" t="s">
        <v>184</v>
      </c>
      <c r="D8" s="75" t="s">
        <v>424</v>
      </c>
      <c r="E8" s="75" t="s">
        <v>183</v>
      </c>
      <c r="F8" s="75" t="s">
        <v>184</v>
      </c>
      <c r="G8" s="75" t="s">
        <v>424</v>
      </c>
    </row>
    <row r="9" spans="1:7" x14ac:dyDescent="0.2">
      <c r="A9" t="s">
        <v>1</v>
      </c>
      <c r="B9" s="68">
        <v>169.45672607421875</v>
      </c>
      <c r="C9" s="83">
        <v>0.17370760545556155</v>
      </c>
      <c r="D9" s="84">
        <v>0.91982101277300332</v>
      </c>
      <c r="E9" s="68">
        <v>163.55000305175781</v>
      </c>
      <c r="F9" s="83">
        <v>0.12771323323249817</v>
      </c>
      <c r="G9" s="84">
        <v>0.9137866440841671</v>
      </c>
    </row>
    <row r="10" spans="1:7" x14ac:dyDescent="0.2">
      <c r="A10" t="s">
        <v>2</v>
      </c>
      <c r="B10" s="68">
        <v>1255.1904296875</v>
      </c>
      <c r="C10" s="83">
        <v>0.14312546460615597</v>
      </c>
      <c r="D10" s="84">
        <v>0.63758626188082146</v>
      </c>
      <c r="E10" s="68">
        <v>1218.4000244140625</v>
      </c>
      <c r="F10" s="83">
        <v>8.8804580271244049E-2</v>
      </c>
      <c r="G10" s="84">
        <v>0.62001949367549769</v>
      </c>
    </row>
    <row r="11" spans="1:7" x14ac:dyDescent="0.2">
      <c r="A11" t="s">
        <v>3</v>
      </c>
      <c r="B11" s="68">
        <v>80.0684814453125</v>
      </c>
      <c r="C11" s="83">
        <v>0.13085079173972583</v>
      </c>
      <c r="D11" s="84">
        <v>0.84367194938431767</v>
      </c>
      <c r="E11" s="68">
        <v>76.12213134765625</v>
      </c>
      <c r="F11" s="83">
        <v>4.7175057232379913E-2</v>
      </c>
      <c r="G11" s="84">
        <v>0.82804947399500428</v>
      </c>
    </row>
    <row r="12" spans="1:7" x14ac:dyDescent="0.2">
      <c r="A12" t="s">
        <v>4</v>
      </c>
      <c r="B12" s="68">
        <v>9.6493005752563477</v>
      </c>
      <c r="C12" s="83">
        <v>0.29414139628213598</v>
      </c>
      <c r="D12" s="84">
        <v>0.51411038339008908</v>
      </c>
      <c r="E12" s="68">
        <v>13.024999618530273</v>
      </c>
      <c r="F12" s="83">
        <v>0.56232631206512451</v>
      </c>
      <c r="G12" s="84">
        <v>0.66456988967608055</v>
      </c>
    </row>
    <row r="13" spans="1:7" x14ac:dyDescent="0.2">
      <c r="A13" t="s">
        <v>5</v>
      </c>
      <c r="B13" s="68">
        <v>0.40859556198120117</v>
      </c>
      <c r="C13" s="83">
        <v>0.16008736909448876</v>
      </c>
      <c r="D13" s="84">
        <v>0.10046005523522594</v>
      </c>
      <c r="E13" s="68">
        <v>0.42000001668930054</v>
      </c>
      <c r="F13" s="83">
        <v>0.27904760837554932</v>
      </c>
      <c r="G13" s="84">
        <v>0.1069869379921875</v>
      </c>
    </row>
    <row r="14" spans="1:7" x14ac:dyDescent="0.2">
      <c r="A14" t="s">
        <v>6</v>
      </c>
      <c r="B14" s="68">
        <v>562.129150390625</v>
      </c>
      <c r="C14" s="83">
        <v>0.16337373959482773</v>
      </c>
      <c r="D14" s="84">
        <v>0.63094647640711332</v>
      </c>
      <c r="E14" s="68">
        <v>570.75</v>
      </c>
      <c r="F14" s="83">
        <v>7.7789753675460815E-2</v>
      </c>
      <c r="G14" s="84">
        <v>0.64214707086797818</v>
      </c>
    </row>
    <row r="15" spans="1:7" x14ac:dyDescent="0.2">
      <c r="A15" t="s">
        <v>7</v>
      </c>
      <c r="B15" s="68">
        <v>71.342201232910156</v>
      </c>
      <c r="C15" s="83">
        <v>0.19874637137201431</v>
      </c>
      <c r="D15" s="84">
        <v>0.81908538527873198</v>
      </c>
      <c r="E15" s="68">
        <v>74.5</v>
      </c>
      <c r="F15" s="83">
        <v>0.20176510512828827</v>
      </c>
      <c r="G15" s="84">
        <v>0.83083636741547329</v>
      </c>
    </row>
    <row r="16" spans="1:7" x14ac:dyDescent="0.2">
      <c r="A16" t="s">
        <v>284</v>
      </c>
      <c r="B16" s="68">
        <v>760.25146484375</v>
      </c>
      <c r="C16" s="83">
        <v>0.25806681379208801</v>
      </c>
      <c r="D16" s="84">
        <v>0.80632162542115537</v>
      </c>
      <c r="E16" s="68">
        <v>854.17242431640625</v>
      </c>
      <c r="F16" s="83">
        <v>0.18715895712375641</v>
      </c>
      <c r="G16" s="84">
        <v>0.8297910016192882</v>
      </c>
    </row>
    <row r="17" spans="1:7" x14ac:dyDescent="0.2">
      <c r="A17" t="s">
        <v>286</v>
      </c>
      <c r="B17" s="68">
        <v>2.6050853729248047</v>
      </c>
      <c r="C17" s="83">
        <v>0.24167909481833547</v>
      </c>
      <c r="D17" s="84">
        <v>4.2925836741824708E-2</v>
      </c>
      <c r="E17" s="68">
        <v>2.8467090129852295</v>
      </c>
      <c r="F17" s="83">
        <v>0.185257688164711</v>
      </c>
      <c r="G17" s="84">
        <v>6.0682448503613595E-2</v>
      </c>
    </row>
    <row r="18" spans="1:7" x14ac:dyDescent="0.2">
      <c r="A18" t="s">
        <v>288</v>
      </c>
      <c r="B18" s="68">
        <v>6.9136042594909668</v>
      </c>
      <c r="C18" s="83">
        <v>0.25345779863877832</v>
      </c>
      <c r="D18" s="84">
        <v>9.3221069996160311E-2</v>
      </c>
      <c r="E18" s="68">
        <v>7.3241147994995117</v>
      </c>
      <c r="F18" s="83">
        <v>8.1377223134040833E-2</v>
      </c>
      <c r="G18" s="84">
        <v>0.10814065388922978</v>
      </c>
    </row>
    <row r="19" spans="1:7" x14ac:dyDescent="0.2">
      <c r="A19" t="s">
        <v>289</v>
      </c>
      <c r="B19" s="68">
        <v>7.6839361190795898</v>
      </c>
      <c r="C19" s="83">
        <v>0.44493767196317197</v>
      </c>
      <c r="D19" s="84">
        <v>8.688714315434054E-2</v>
      </c>
      <c r="E19" s="68">
        <v>7.4132299423217773</v>
      </c>
      <c r="F19" s="83">
        <v>0.1451549232006073</v>
      </c>
      <c r="G19" s="84">
        <v>8.1318402343880769E-2</v>
      </c>
    </row>
    <row r="20" spans="1:7" x14ac:dyDescent="0.2">
      <c r="A20" t="s">
        <v>8</v>
      </c>
      <c r="B20" s="68">
        <v>2.4585001468658447</v>
      </c>
      <c r="C20" s="83">
        <v>0.16376463966540811</v>
      </c>
      <c r="D20" s="84">
        <v>0.94360564741749631</v>
      </c>
      <c r="E20" s="68">
        <v>2.4585001468658447</v>
      </c>
      <c r="F20" s="83">
        <v>0.16376464068889618</v>
      </c>
      <c r="G20" s="84">
        <v>0.94360564741749631</v>
      </c>
    </row>
    <row r="21" spans="1:7" x14ac:dyDescent="0.2">
      <c r="A21" t="s">
        <v>9</v>
      </c>
      <c r="B21" s="68">
        <v>12.772669792175293</v>
      </c>
      <c r="C21" s="83">
        <v>0.16665752501162207</v>
      </c>
      <c r="D21" s="84">
        <v>0.96438452329745405</v>
      </c>
      <c r="E21" s="68">
        <v>12.772669792175293</v>
      </c>
      <c r="F21" s="83">
        <v>0.16665752232074738</v>
      </c>
      <c r="G21" s="84">
        <v>0.96438452329745405</v>
      </c>
    </row>
    <row r="22" spans="1:7" x14ac:dyDescent="0.2">
      <c r="A22" t="s">
        <v>293</v>
      </c>
      <c r="B22" s="68">
        <v>13.803399085998535</v>
      </c>
      <c r="C22" s="83">
        <v>0.17717904221331404</v>
      </c>
      <c r="D22" s="84">
        <v>0.96605376560426548</v>
      </c>
      <c r="E22" s="68">
        <v>13.189582824707031</v>
      </c>
      <c r="F22" s="83">
        <v>0.15067028999328613</v>
      </c>
      <c r="G22" s="84">
        <v>0.95973007959873347</v>
      </c>
    </row>
    <row r="23" spans="1:7" x14ac:dyDescent="0.2">
      <c r="A23" t="s">
        <v>295</v>
      </c>
      <c r="B23" s="68">
        <v>3.3675999641418457</v>
      </c>
      <c r="C23" s="83">
        <v>0.33514552184265745</v>
      </c>
      <c r="D23" s="84">
        <v>5.8763750092848288E-2</v>
      </c>
      <c r="E23" s="68">
        <v>3.9670000076293945</v>
      </c>
      <c r="F23" s="83">
        <v>0.29290452599525452</v>
      </c>
      <c r="G23" s="84">
        <v>9.1123859140711194E-2</v>
      </c>
    </row>
    <row r="24" spans="1:7" x14ac:dyDescent="0.2">
      <c r="A24" t="s">
        <v>297</v>
      </c>
      <c r="B24" s="68">
        <v>5.282265692949295E-2</v>
      </c>
      <c r="C24" s="83">
        <v>0.32856009244300649</v>
      </c>
      <c r="D24" s="84">
        <v>1.9623083510619588E-2</v>
      </c>
      <c r="E24" s="68">
        <v>6.5419666469097137E-2</v>
      </c>
      <c r="F24" s="83">
        <v>0.25589951872825623</v>
      </c>
      <c r="G24" s="84">
        <v>4.2236541151393969E-2</v>
      </c>
    </row>
    <row r="25" spans="1:7" x14ac:dyDescent="0.2">
      <c r="A25" t="s">
        <v>10</v>
      </c>
      <c r="B25" s="68">
        <v>25.401151657104492</v>
      </c>
      <c r="C25" s="83">
        <v>0.45204049956351039</v>
      </c>
      <c r="D25" s="84">
        <v>0.51411038339008908</v>
      </c>
      <c r="E25" s="68">
        <v>29.501947402954102</v>
      </c>
      <c r="F25" s="83">
        <v>0.25978133082389832</v>
      </c>
      <c r="G25" s="84">
        <v>0.66456988967608055</v>
      </c>
    </row>
    <row r="26" spans="1:7" x14ac:dyDescent="0.2">
      <c r="A26" t="s">
        <v>11</v>
      </c>
      <c r="B26" s="68">
        <v>8.9337482452392578</v>
      </c>
      <c r="C26" s="83">
        <v>0.4372557880260326</v>
      </c>
      <c r="D26" s="84">
        <v>0.51411038339008908</v>
      </c>
      <c r="E26" s="68">
        <v>15.830733299255371</v>
      </c>
      <c r="F26" s="83">
        <v>0.26165056228637695</v>
      </c>
      <c r="G26" s="84">
        <v>0.66456988967608055</v>
      </c>
    </row>
    <row r="27" spans="1:7" x14ac:dyDescent="0.2">
      <c r="A27" t="s">
        <v>12</v>
      </c>
      <c r="B27" s="68">
        <v>5.0137491226196289</v>
      </c>
      <c r="C27" s="83">
        <v>0.48531410915558132</v>
      </c>
      <c r="D27" s="84">
        <v>0.51411038339008908</v>
      </c>
      <c r="E27" s="68">
        <v>10.83668327331543</v>
      </c>
      <c r="F27" s="83">
        <v>0.35273700952529907</v>
      </c>
      <c r="G27" s="84">
        <v>0.66456988967608055</v>
      </c>
    </row>
    <row r="28" spans="1:7" x14ac:dyDescent="0.2">
      <c r="A28" t="s">
        <v>13</v>
      </c>
      <c r="B28" s="68">
        <v>3.1331253051757813</v>
      </c>
      <c r="C28" s="83">
        <v>0.6119799420217894</v>
      </c>
      <c r="D28" s="84">
        <v>0.51411038339008908</v>
      </c>
      <c r="E28" s="68">
        <v>7.8710470199584961</v>
      </c>
      <c r="F28" s="83">
        <v>0.50994479656219482</v>
      </c>
      <c r="G28" s="84">
        <v>0.66456988967608055</v>
      </c>
    </row>
    <row r="29" spans="1:7" x14ac:dyDescent="0.2">
      <c r="A29" t="s">
        <v>14</v>
      </c>
      <c r="B29" s="68">
        <v>2.0214920043945313</v>
      </c>
      <c r="C29" s="83">
        <v>0.7496107534626999</v>
      </c>
      <c r="D29" s="84">
        <v>0.51411038339008908</v>
      </c>
      <c r="E29" s="68">
        <v>5.8244729042053223</v>
      </c>
      <c r="F29" s="83">
        <v>0.69993549585342407</v>
      </c>
      <c r="G29" s="84">
        <v>0.66456988967608055</v>
      </c>
    </row>
    <row r="30" spans="1:7" x14ac:dyDescent="0.2">
      <c r="A30" t="s">
        <v>15</v>
      </c>
      <c r="B30" s="68">
        <v>1.3282183408737183</v>
      </c>
      <c r="C30" s="83">
        <v>0.87856607559442101</v>
      </c>
      <c r="D30" s="84">
        <v>0.51411038339008908</v>
      </c>
      <c r="E30" s="68">
        <v>4.3468756675720215</v>
      </c>
      <c r="F30" s="83">
        <v>0.89355790615081787</v>
      </c>
      <c r="G30" s="84">
        <v>0.66456988967608055</v>
      </c>
    </row>
    <row r="31" spans="1:7" x14ac:dyDescent="0.2">
      <c r="A31" t="s">
        <v>305</v>
      </c>
      <c r="B31" s="68">
        <v>77.495277404785156</v>
      </c>
      <c r="C31" s="83">
        <v>3.418963766363755E-2</v>
      </c>
      <c r="D31" s="84">
        <v>0.91982101277300332</v>
      </c>
      <c r="E31" s="68">
        <v>76.449508666992188</v>
      </c>
      <c r="F31" s="83">
        <v>1.153508760035038E-2</v>
      </c>
      <c r="G31" s="84">
        <v>0.9137866440841671</v>
      </c>
    </row>
    <row r="32" spans="1:7" x14ac:dyDescent="0.2">
      <c r="A32" t="s">
        <v>16</v>
      </c>
      <c r="B32" s="68">
        <v>50.891490936279297</v>
      </c>
      <c r="C32" s="83">
        <v>5.6113086829413912E-2</v>
      </c>
      <c r="D32" s="84">
        <v>0.51411038339008908</v>
      </c>
      <c r="E32" s="68">
        <v>50.251228332519531</v>
      </c>
      <c r="F32" s="83">
        <v>4.3481651693582535E-2</v>
      </c>
      <c r="G32" s="84">
        <v>0.66456988967608055</v>
      </c>
    </row>
    <row r="33" spans="1:7" x14ac:dyDescent="0.2">
      <c r="A33" t="s">
        <v>308</v>
      </c>
      <c r="B33" s="68">
        <v>73.577232360839844</v>
      </c>
      <c r="C33" s="83">
        <v>3.1846445905899912E-2</v>
      </c>
      <c r="D33" s="84">
        <v>0.89953994476477406</v>
      </c>
      <c r="E33" s="68">
        <v>73.419166564941406</v>
      </c>
      <c r="F33" s="83">
        <v>2.5773743167519569E-2</v>
      </c>
      <c r="G33" s="84">
        <v>0.8930130620078125</v>
      </c>
    </row>
    <row r="35" spans="1:7" x14ac:dyDescent="0.2">
      <c r="A35" s="9" t="s">
        <v>84</v>
      </c>
      <c r="B35" s="69">
        <v>1</v>
      </c>
      <c r="C35" s="9" t="s">
        <v>118</v>
      </c>
      <c r="D35" s="9"/>
      <c r="E35" s="9"/>
    </row>
    <row r="36" spans="1:7" x14ac:dyDescent="0.2">
      <c r="A36" s="9"/>
      <c r="B36" s="19" t="s">
        <v>107</v>
      </c>
      <c r="C36" s="9"/>
      <c r="D36" s="19"/>
      <c r="E36" s="19" t="s">
        <v>108</v>
      </c>
    </row>
    <row r="37" spans="1:7" x14ac:dyDescent="0.2">
      <c r="A37" s="74" t="s">
        <v>91</v>
      </c>
      <c r="B37" s="75" t="s">
        <v>183</v>
      </c>
      <c r="C37" s="75" t="s">
        <v>184</v>
      </c>
      <c r="D37" s="75" t="s">
        <v>424</v>
      </c>
      <c r="E37" s="75" t="s">
        <v>183</v>
      </c>
      <c r="F37" s="75" t="s">
        <v>184</v>
      </c>
      <c r="G37" s="75" t="s">
        <v>424</v>
      </c>
    </row>
    <row r="38" spans="1:7" x14ac:dyDescent="0.2">
      <c r="A38" t="s">
        <v>1</v>
      </c>
      <c r="B38" s="68">
        <v>308.93423461914063</v>
      </c>
      <c r="C38" s="83">
        <v>0.25225286613798897</v>
      </c>
      <c r="D38" s="84">
        <v>0.9808265311727673</v>
      </c>
      <c r="E38" s="68">
        <v>367</v>
      </c>
      <c r="F38" s="83">
        <v>9.0000003576278687E-2</v>
      </c>
      <c r="G38" s="84">
        <v>0.9881666476157932</v>
      </c>
    </row>
    <row r="39" spans="1:7" x14ac:dyDescent="0.2">
      <c r="A39" t="s">
        <v>2</v>
      </c>
      <c r="B39" s="68">
        <v>1554.3240966796875</v>
      </c>
      <c r="C39" s="83">
        <v>0.18780694419991903</v>
      </c>
      <c r="D39" s="84">
        <v>0.75364488078290026</v>
      </c>
      <c r="E39" s="68">
        <v>1575</v>
      </c>
      <c r="F39" s="83">
        <v>0.15000000596046448</v>
      </c>
      <c r="G39" s="84">
        <v>0.76010868275166521</v>
      </c>
    </row>
    <row r="40" spans="1:7" x14ac:dyDescent="0.2">
      <c r="A40" t="s">
        <v>3</v>
      </c>
      <c r="B40" s="68">
        <v>109.43815612792969</v>
      </c>
      <c r="C40" s="83">
        <v>0.19696735068666724</v>
      </c>
      <c r="D40" s="84">
        <v>0.91928237727852036</v>
      </c>
      <c r="E40" s="68">
        <v>112.98271179199219</v>
      </c>
      <c r="F40" s="83">
        <v>0.13533197343349457</v>
      </c>
      <c r="G40" s="84">
        <v>0.92508112658799824</v>
      </c>
    </row>
    <row r="41" spans="1:7" x14ac:dyDescent="0.2">
      <c r="A41" t="s">
        <v>4</v>
      </c>
      <c r="B41" s="68">
        <v>40.111030578613281</v>
      </c>
      <c r="C41" s="83">
        <v>0.36102909403489142</v>
      </c>
      <c r="D41" s="84">
        <v>0.97033386492649332</v>
      </c>
      <c r="E41" s="68">
        <v>62</v>
      </c>
      <c r="F41" s="83">
        <v>0.62000000476837158</v>
      </c>
      <c r="G41" s="84">
        <v>0.9928826279569658</v>
      </c>
    </row>
    <row r="42" spans="1:7" x14ac:dyDescent="0.2">
      <c r="A42" t="s">
        <v>5</v>
      </c>
      <c r="B42" s="68">
        <v>0.22457900643348694</v>
      </c>
      <c r="C42" s="83">
        <v>0.2876548175619954</v>
      </c>
      <c r="D42" s="84">
        <v>1.9393755866426887E-2</v>
      </c>
      <c r="E42" s="68">
        <v>0.20000000298023224</v>
      </c>
      <c r="F42" s="83">
        <v>0.18999999761581421</v>
      </c>
      <c r="G42" s="84">
        <v>1.3245151935344257E-2</v>
      </c>
    </row>
    <row r="43" spans="1:7" x14ac:dyDescent="0.2">
      <c r="A43" t="s">
        <v>6</v>
      </c>
      <c r="B43" s="68">
        <v>1331.3165283203125</v>
      </c>
      <c r="C43" s="83">
        <v>0.25291450357171819</v>
      </c>
      <c r="D43" s="84">
        <v>0.97856299160785165</v>
      </c>
      <c r="E43" s="68">
        <v>856</v>
      </c>
      <c r="F43" s="83">
        <v>0.14000000059604645</v>
      </c>
      <c r="G43" s="84">
        <v>0.8767610791160797</v>
      </c>
    </row>
    <row r="44" spans="1:7" x14ac:dyDescent="0.2">
      <c r="A44" t="s">
        <v>7</v>
      </c>
      <c r="B44" s="68">
        <v>149.06263732910156</v>
      </c>
      <c r="C44" s="83">
        <v>0.25241285632886878</v>
      </c>
      <c r="D44" s="84">
        <v>0.95425087990354951</v>
      </c>
      <c r="E44" s="68">
        <v>250</v>
      </c>
      <c r="F44" s="83">
        <v>0.15999999642372131</v>
      </c>
      <c r="G44" s="84">
        <v>0.98718781318657922</v>
      </c>
    </row>
    <row r="45" spans="1:7" x14ac:dyDescent="0.2">
      <c r="A45" t="s">
        <v>284</v>
      </c>
      <c r="B45" s="68">
        <v>3207.093017578125</v>
      </c>
      <c r="C45" s="83">
        <v>0.3659410522194389</v>
      </c>
      <c r="D45" s="84">
        <v>0.97519170827174928</v>
      </c>
      <c r="E45" s="68">
        <v>3749.39208984375</v>
      </c>
      <c r="F45" s="83">
        <v>0.3644433319568634</v>
      </c>
      <c r="G45" s="84">
        <v>0.98135220773769238</v>
      </c>
    </row>
    <row r="46" spans="1:7" x14ac:dyDescent="0.2">
      <c r="A46" t="s">
        <v>286</v>
      </c>
      <c r="B46" s="68">
        <v>5.679084300994873</v>
      </c>
      <c r="C46" s="83">
        <v>0.35994548389307973</v>
      </c>
      <c r="D46" s="84">
        <v>0.40668059832006787</v>
      </c>
      <c r="E46" s="68">
        <v>6.5561285018920898</v>
      </c>
      <c r="F46" s="83">
        <v>0.44540819525718689</v>
      </c>
      <c r="G46" s="84">
        <v>0.51473007579522922</v>
      </c>
    </row>
    <row r="47" spans="1:7" x14ac:dyDescent="0.2">
      <c r="A47" t="s">
        <v>288</v>
      </c>
      <c r="B47" s="68">
        <v>4.5457057952880859</v>
      </c>
      <c r="C47" s="83">
        <v>0.24733476557665873</v>
      </c>
      <c r="D47" s="84">
        <v>2.6378583135726941E-2</v>
      </c>
      <c r="E47" s="68">
        <v>3.88283371925354</v>
      </c>
      <c r="F47" s="83">
        <v>0.18740659952163696</v>
      </c>
      <c r="G47" s="84">
        <v>1.5065881500602729E-2</v>
      </c>
    </row>
    <row r="48" spans="1:7" x14ac:dyDescent="0.2">
      <c r="A48" t="s">
        <v>289</v>
      </c>
      <c r="B48" s="68">
        <v>1.3949167728424072</v>
      </c>
      <c r="C48" s="83">
        <v>1.5138297644322583</v>
      </c>
      <c r="D48" s="84">
        <v>1.0463417213543158E-3</v>
      </c>
      <c r="E48" s="68">
        <v>6.145298957824707</v>
      </c>
      <c r="F48" s="83">
        <v>0.57945346832275391</v>
      </c>
      <c r="G48" s="84">
        <v>5.6486635684148578E-2</v>
      </c>
    </row>
    <row r="49" spans="1:7" x14ac:dyDescent="0.2">
      <c r="A49" t="s">
        <v>8</v>
      </c>
      <c r="B49" s="68">
        <v>3.4500000476837158</v>
      </c>
      <c r="C49" s="83">
        <v>0.39169999554951668</v>
      </c>
      <c r="D49" s="84">
        <v>0.97562715920514287</v>
      </c>
      <c r="E49" s="68">
        <v>3.4500000476837158</v>
      </c>
      <c r="F49" s="83">
        <v>0.39169999957084656</v>
      </c>
      <c r="G49" s="84">
        <v>0.97562715920514287</v>
      </c>
    </row>
    <row r="50" spans="1:7" x14ac:dyDescent="0.2">
      <c r="A50" t="s">
        <v>9</v>
      </c>
      <c r="B50" s="68">
        <v>4.1400003433227539</v>
      </c>
      <c r="C50" s="83">
        <v>0.40966918481168807</v>
      </c>
      <c r="D50" s="84">
        <v>0.63764911253562495</v>
      </c>
      <c r="E50" s="68">
        <v>4.1400003433227539</v>
      </c>
      <c r="F50" s="83">
        <v>0.4096691906452179</v>
      </c>
      <c r="G50" s="84">
        <v>0.63764911253562495</v>
      </c>
    </row>
    <row r="51" spans="1:7" x14ac:dyDescent="0.2">
      <c r="A51" t="s">
        <v>293</v>
      </c>
      <c r="B51" s="68">
        <v>5.3433313369750977</v>
      </c>
      <c r="C51" s="83">
        <v>0.30644722162219146</v>
      </c>
      <c r="D51" s="84">
        <v>0.57731226072325348</v>
      </c>
      <c r="E51" s="68">
        <v>6</v>
      </c>
      <c r="F51" s="83">
        <v>0.22006288170814514</v>
      </c>
      <c r="G51" s="84">
        <v>0.65327611888747172</v>
      </c>
    </row>
    <row r="52" spans="1:7" x14ac:dyDescent="0.2">
      <c r="A52" t="s">
        <v>295</v>
      </c>
      <c r="B52" s="68">
        <v>9.0080957412719727</v>
      </c>
      <c r="C52" s="83">
        <v>0.50199589026213165</v>
      </c>
      <c r="D52" s="84">
        <v>0.43033783010772297</v>
      </c>
      <c r="E52" s="68">
        <v>12.40000057220459</v>
      </c>
      <c r="F52" s="83">
        <v>0.64845877885818481</v>
      </c>
      <c r="G52" s="84">
        <v>0.60867209147577805</v>
      </c>
    </row>
    <row r="53" spans="1:7" x14ac:dyDescent="0.2">
      <c r="A53" t="s">
        <v>297</v>
      </c>
      <c r="B53" s="68">
        <v>0.1298367977142334</v>
      </c>
      <c r="C53" s="83">
        <v>0.38728308434433295</v>
      </c>
      <c r="D53" s="84">
        <v>0.25864071788614862</v>
      </c>
      <c r="E53" s="68">
        <v>0.1689373254776001</v>
      </c>
      <c r="F53" s="83">
        <v>0.62612670660018921</v>
      </c>
      <c r="G53" s="84">
        <v>0.40763726094080521</v>
      </c>
    </row>
    <row r="54" spans="1:7" x14ac:dyDescent="0.2">
      <c r="A54" t="s">
        <v>10</v>
      </c>
      <c r="B54" s="68">
        <v>97.322036743164063</v>
      </c>
      <c r="C54" s="83">
        <v>3.6160569797121095E-2</v>
      </c>
      <c r="D54" s="84">
        <v>0.97033386492649332</v>
      </c>
      <c r="E54" s="68">
        <v>99.575790405273438</v>
      </c>
      <c r="F54" s="83">
        <v>1.1595687828958035E-2</v>
      </c>
      <c r="G54" s="84">
        <v>0.9928826279569658</v>
      </c>
    </row>
    <row r="55" spans="1:7" x14ac:dyDescent="0.2">
      <c r="A55" t="s">
        <v>11</v>
      </c>
      <c r="B55" s="68">
        <v>79.176589965820313</v>
      </c>
      <c r="C55" s="83">
        <v>0.2080319303842553</v>
      </c>
      <c r="D55" s="84">
        <v>0.97033386492649332</v>
      </c>
      <c r="E55" s="68">
        <v>93.510955810546875</v>
      </c>
      <c r="F55" s="83">
        <v>0.12864220142364502</v>
      </c>
      <c r="G55" s="84">
        <v>0.9928826279569658</v>
      </c>
    </row>
    <row r="56" spans="1:7" x14ac:dyDescent="0.2">
      <c r="A56" t="s">
        <v>12</v>
      </c>
      <c r="B56" s="68">
        <v>56.303787231445313</v>
      </c>
      <c r="C56" s="83">
        <v>0.40415429436948819</v>
      </c>
      <c r="D56" s="84">
        <v>0.97033386492649332</v>
      </c>
      <c r="E56" s="68">
        <v>80.537689208984375</v>
      </c>
      <c r="F56" s="83">
        <v>0.32999810576438904</v>
      </c>
      <c r="G56" s="84">
        <v>0.9928826279569658</v>
      </c>
    </row>
    <row r="57" spans="1:7" x14ac:dyDescent="0.2">
      <c r="A57" t="s">
        <v>13</v>
      </c>
      <c r="B57" s="68">
        <v>37.992237091064453</v>
      </c>
      <c r="C57" s="83">
        <v>0.58140739251868057</v>
      </c>
      <c r="D57" s="84">
        <v>0.97033386492649332</v>
      </c>
      <c r="E57" s="68">
        <v>65.431350708007813</v>
      </c>
      <c r="F57" s="83">
        <v>0.54967790842056274</v>
      </c>
      <c r="G57" s="84">
        <v>0.9928826279569658</v>
      </c>
    </row>
    <row r="58" spans="1:7" x14ac:dyDescent="0.2">
      <c r="A58" t="s">
        <v>14</v>
      </c>
      <c r="B58" s="68">
        <v>25.285226821899414</v>
      </c>
      <c r="C58" s="83">
        <v>0.73638665203928366</v>
      </c>
      <c r="D58" s="84">
        <v>0.97033386492649332</v>
      </c>
      <c r="E58" s="68">
        <v>51.482368469238281</v>
      </c>
      <c r="F58" s="83">
        <v>0.76206111907958984</v>
      </c>
      <c r="G58" s="84">
        <v>0.9928826279569658</v>
      </c>
    </row>
    <row r="59" spans="1:7" x14ac:dyDescent="0.2">
      <c r="A59" t="s">
        <v>15</v>
      </c>
      <c r="B59" s="68">
        <v>16.861917495727539</v>
      </c>
      <c r="C59" s="83">
        <v>0.87219670160632834</v>
      </c>
      <c r="D59" s="84">
        <v>0.97033386492649332</v>
      </c>
      <c r="E59" s="68">
        <v>39.84796142578125</v>
      </c>
      <c r="F59" s="83">
        <v>0.95951879024505615</v>
      </c>
      <c r="G59" s="84">
        <v>0.9928826279569658</v>
      </c>
    </row>
    <row r="60" spans="1:7" x14ac:dyDescent="0.2">
      <c r="A60" t="s">
        <v>305</v>
      </c>
      <c r="B60" s="68">
        <v>86.821708679199219</v>
      </c>
      <c r="C60" s="83">
        <v>4.1943963802758791E-2</v>
      </c>
      <c r="D60" s="84">
        <v>0.9808265311727673</v>
      </c>
      <c r="E60" s="68">
        <v>89.305320739746094</v>
      </c>
      <c r="F60" s="83">
        <v>1.4318258501589298E-2</v>
      </c>
      <c r="G60" s="84">
        <v>0.9881666476157932</v>
      </c>
    </row>
    <row r="61" spans="1:7" x14ac:dyDescent="0.2">
      <c r="A61" t="s">
        <v>16</v>
      </c>
      <c r="B61" s="68">
        <v>66.815101623535156</v>
      </c>
      <c r="C61" s="83">
        <v>5.2687399989307188E-2</v>
      </c>
      <c r="D61" s="84">
        <v>0.97033386492649332</v>
      </c>
      <c r="E61" s="68">
        <v>71.087188720703125</v>
      </c>
      <c r="F61" s="83">
        <v>8.430115133523941E-2</v>
      </c>
      <c r="G61" s="84">
        <v>0.9928826279569658</v>
      </c>
    </row>
    <row r="62" spans="1:7" x14ac:dyDescent="0.2">
      <c r="A62" t="s">
        <v>308</v>
      </c>
      <c r="B62" s="68">
        <v>81.521736145019531</v>
      </c>
      <c r="C62" s="83">
        <v>5.1183901352226793E-2</v>
      </c>
      <c r="D62" s="84">
        <v>0.98060624413357311</v>
      </c>
      <c r="E62" s="68">
        <v>83.192001342773438</v>
      </c>
      <c r="F62" s="83">
        <v>3.2426562160253525E-2</v>
      </c>
      <c r="G62" s="84">
        <v>0.98675484806465574</v>
      </c>
    </row>
    <row r="64" spans="1:7" x14ac:dyDescent="0.2">
      <c r="A64" s="9" t="s">
        <v>84</v>
      </c>
      <c r="B64" s="69">
        <v>2</v>
      </c>
      <c r="C64" s="9" t="s">
        <v>119</v>
      </c>
      <c r="D64" s="9"/>
      <c r="E64" s="9"/>
    </row>
    <row r="65" spans="1:7" x14ac:dyDescent="0.2">
      <c r="A65" s="9"/>
      <c r="B65" s="19" t="s">
        <v>107</v>
      </c>
      <c r="C65" s="9"/>
      <c r="D65" s="19"/>
      <c r="E65" s="19" t="s">
        <v>108</v>
      </c>
    </row>
    <row r="66" spans="1:7" x14ac:dyDescent="0.2">
      <c r="A66" s="74" t="s">
        <v>91</v>
      </c>
      <c r="B66" s="75" t="s">
        <v>183</v>
      </c>
      <c r="C66" s="75" t="s">
        <v>184</v>
      </c>
      <c r="D66" s="75" t="s">
        <v>424</v>
      </c>
      <c r="E66" s="75" t="s">
        <v>183</v>
      </c>
      <c r="F66" s="75" t="s">
        <v>184</v>
      </c>
      <c r="G66" s="75" t="s">
        <v>424</v>
      </c>
    </row>
    <row r="67" spans="1:7" x14ac:dyDescent="0.2">
      <c r="A67" t="s">
        <v>1</v>
      </c>
      <c r="B67" s="68">
        <v>192.16374206542969</v>
      </c>
      <c r="C67" s="83">
        <v>0.19077785011448309</v>
      </c>
      <c r="D67" s="84">
        <v>0.93865631336411037</v>
      </c>
    </row>
    <row r="68" spans="1:7" x14ac:dyDescent="0.2">
      <c r="A68" t="s">
        <v>2</v>
      </c>
      <c r="B68" s="68">
        <v>1349.147216796875</v>
      </c>
      <c r="C68" s="83">
        <v>0.17204774038467338</v>
      </c>
      <c r="D68" s="84">
        <v>0.67896413802240718</v>
      </c>
    </row>
    <row r="69" spans="1:7" x14ac:dyDescent="0.2">
      <c r="A69" t="s">
        <v>3</v>
      </c>
      <c r="B69" s="68">
        <v>88.657913208007813</v>
      </c>
      <c r="C69" s="83">
        <v>0.16204444234360624</v>
      </c>
      <c r="D69" s="84">
        <v>0.87223983915613212</v>
      </c>
    </row>
    <row r="70" spans="1:7" x14ac:dyDescent="0.2">
      <c r="A70" t="s">
        <v>4</v>
      </c>
      <c r="B70" s="68">
        <v>6.8758988380432129</v>
      </c>
      <c r="C70" s="83">
        <v>0.42830283879610404</v>
      </c>
      <c r="D70" s="84">
        <v>0.34284715596888071</v>
      </c>
    </row>
    <row r="71" spans="1:7" x14ac:dyDescent="0.2">
      <c r="A71" t="s">
        <v>5</v>
      </c>
      <c r="B71" s="68">
        <v>0.36076372861862183</v>
      </c>
      <c r="C71" s="83">
        <v>0.36257888487361778</v>
      </c>
      <c r="D71" s="84">
        <v>7.4544911033745054E-2</v>
      </c>
    </row>
    <row r="72" spans="1:7" x14ac:dyDescent="0.2">
      <c r="A72" t="s">
        <v>6</v>
      </c>
      <c r="B72" s="68">
        <v>509.55047607421875</v>
      </c>
      <c r="C72" s="83">
        <v>0.16756622510967459</v>
      </c>
      <c r="D72" s="84">
        <v>0.55638381778126678</v>
      </c>
    </row>
    <row r="73" spans="1:7" x14ac:dyDescent="0.2">
      <c r="A73" t="s">
        <v>7</v>
      </c>
      <c r="B73" s="68">
        <v>69.75909423828125</v>
      </c>
      <c r="C73" s="83">
        <v>0.34233174685258533</v>
      </c>
      <c r="D73" s="84">
        <v>0.81280054412737068</v>
      </c>
    </row>
    <row r="74" spans="1:7" x14ac:dyDescent="0.2">
      <c r="A74" t="s">
        <v>284</v>
      </c>
      <c r="B74" s="68">
        <v>604.16619873046875</v>
      </c>
      <c r="C74" s="83">
        <v>0.26382499959297651</v>
      </c>
      <c r="D74" s="84">
        <v>0.75458872555013912</v>
      </c>
    </row>
    <row r="75" spans="1:7" x14ac:dyDescent="0.2">
      <c r="A75" t="s">
        <v>286</v>
      </c>
      <c r="B75" s="68">
        <v>2.0743637084960938</v>
      </c>
      <c r="C75" s="83">
        <v>0.47955218512777181</v>
      </c>
      <c r="D75" s="84">
        <v>1.5746000793485426E-2</v>
      </c>
    </row>
    <row r="76" spans="1:7" x14ac:dyDescent="0.2">
      <c r="A76" t="s">
        <v>288</v>
      </c>
      <c r="B76" s="68">
        <v>6.240236759185791</v>
      </c>
      <c r="C76" s="83">
        <v>0.25444241931536515</v>
      </c>
      <c r="D76" s="84">
        <v>7.0557435872036556E-2</v>
      </c>
    </row>
    <row r="77" spans="1:7" x14ac:dyDescent="0.2">
      <c r="A77" t="s">
        <v>289</v>
      </c>
      <c r="B77" s="68">
        <v>6.8591899871826172</v>
      </c>
      <c r="C77" s="83">
        <v>0.41967211199379839</v>
      </c>
      <c r="D77" s="84">
        <v>7.0186441443813585E-2</v>
      </c>
    </row>
    <row r="78" spans="1:7" x14ac:dyDescent="0.2">
      <c r="A78" t="s">
        <v>8</v>
      </c>
      <c r="B78" s="68">
        <v>2.5999999046325684</v>
      </c>
      <c r="C78" s="83">
        <v>0.40000000557250537</v>
      </c>
      <c r="D78" s="84">
        <v>0.95046441787896385</v>
      </c>
      <c r="E78" s="68">
        <v>2.5999999046325684</v>
      </c>
      <c r="F78" s="83">
        <v>0.40000000596046448</v>
      </c>
      <c r="G78" s="84">
        <v>0.95046441787896385</v>
      </c>
    </row>
    <row r="79" spans="1:7" x14ac:dyDescent="0.2">
      <c r="A79" t="s">
        <v>9</v>
      </c>
      <c r="B79" s="68">
        <v>14.949999809265137</v>
      </c>
      <c r="C79" s="83">
        <v>0.41761197991352994</v>
      </c>
      <c r="D79" s="84">
        <v>0.9776167848105507</v>
      </c>
      <c r="E79" s="68">
        <v>14.949999809265137</v>
      </c>
      <c r="F79" s="83">
        <v>0.4176119863986969</v>
      </c>
      <c r="G79" s="84">
        <v>0.9776167848105507</v>
      </c>
    </row>
    <row r="80" spans="1:7" x14ac:dyDescent="0.2">
      <c r="A80" t="s">
        <v>293</v>
      </c>
      <c r="B80" s="68">
        <v>15.938409805297852</v>
      </c>
      <c r="C80" s="83">
        <v>0.38638458244551704</v>
      </c>
      <c r="D80" s="84">
        <v>0.98090589229421921</v>
      </c>
    </row>
    <row r="81" spans="1:7" x14ac:dyDescent="0.2">
      <c r="A81" t="s">
        <v>295</v>
      </c>
      <c r="B81" s="68">
        <v>2.4805748462677002</v>
      </c>
      <c r="C81" s="83">
        <v>0.70271479283458249</v>
      </c>
      <c r="D81" s="84">
        <v>2.2910880661795141E-2</v>
      </c>
    </row>
    <row r="82" spans="1:7" x14ac:dyDescent="0.2">
      <c r="A82" t="s">
        <v>297</v>
      </c>
      <c r="B82" s="68">
        <v>3.5781458020210266E-2</v>
      </c>
      <c r="C82" s="83">
        <v>0.46108887008775901</v>
      </c>
      <c r="D82" s="84">
        <v>3.7473013977481484E-3</v>
      </c>
    </row>
    <row r="83" spans="1:7" x14ac:dyDescent="0.2">
      <c r="A83" t="s">
        <v>10</v>
      </c>
      <c r="B83" s="68">
        <v>18.029041290283203</v>
      </c>
      <c r="C83" s="83">
        <v>1.0049510657387846</v>
      </c>
      <c r="D83" s="84">
        <v>0.34284715596888071</v>
      </c>
    </row>
    <row r="84" spans="1:7" x14ac:dyDescent="0.2">
      <c r="A84" t="s">
        <v>11</v>
      </c>
      <c r="B84" s="68">
        <v>2.1076722145080566</v>
      </c>
      <c r="C84" s="83">
        <v>1.6489865346006407</v>
      </c>
      <c r="D84" s="84">
        <v>0.34284715596888071</v>
      </c>
    </row>
    <row r="85" spans="1:7" x14ac:dyDescent="0.2">
      <c r="A85" t="s">
        <v>12</v>
      </c>
      <c r="B85" s="68">
        <v>0.36223763227462769</v>
      </c>
      <c r="C85" s="83">
        <v>2.0506507631332904</v>
      </c>
      <c r="D85" s="84">
        <v>0.34284715596888071</v>
      </c>
    </row>
    <row r="86" spans="1:7" x14ac:dyDescent="0.2">
      <c r="A86" t="s">
        <v>13</v>
      </c>
      <c r="B86" s="68">
        <v>8.1962257623672485E-2</v>
      </c>
      <c r="C86" s="83">
        <v>2.3428227590680852</v>
      </c>
      <c r="D86" s="84">
        <v>0.34284715596888071</v>
      </c>
    </row>
    <row r="87" spans="1:7" x14ac:dyDescent="0.2">
      <c r="A87" t="s">
        <v>14</v>
      </c>
      <c r="B87" s="68">
        <v>2.2550627589225769E-2</v>
      </c>
      <c r="C87" s="83">
        <v>2.5726998805307231</v>
      </c>
      <c r="D87" s="84">
        <v>0.34284715596888071</v>
      </c>
    </row>
    <row r="88" spans="1:7" x14ac:dyDescent="0.2">
      <c r="A88" t="s">
        <v>15</v>
      </c>
      <c r="B88" s="68">
        <v>7.1776187978684902E-3</v>
      </c>
      <c r="C88" s="83">
        <v>2.7623434415900241</v>
      </c>
      <c r="D88" s="84">
        <v>0.34284715596888071</v>
      </c>
    </row>
    <row r="89" spans="1:7" x14ac:dyDescent="0.2">
      <c r="A89" t="s">
        <v>305</v>
      </c>
      <c r="B89" s="68">
        <v>79.975372314453125</v>
      </c>
      <c r="C89" s="83">
        <v>3.4447389328896523E-2</v>
      </c>
      <c r="D89" s="84">
        <v>0.93865631336411037</v>
      </c>
    </row>
    <row r="90" spans="1:7" x14ac:dyDescent="0.2">
      <c r="A90" t="s">
        <v>16</v>
      </c>
      <c r="B90" s="68">
        <v>49.513900756835938</v>
      </c>
      <c r="C90" s="83">
        <v>8.5111730543642572E-2</v>
      </c>
      <c r="D90" s="84">
        <v>0.34284715596888071</v>
      </c>
    </row>
    <row r="91" spans="1:7" x14ac:dyDescent="0.2">
      <c r="A91" t="s">
        <v>308</v>
      </c>
      <c r="B91" s="68">
        <v>74.691459655761719</v>
      </c>
      <c r="C91" s="83">
        <v>7.0729610815703545E-2</v>
      </c>
      <c r="D91" s="84">
        <v>0.92545508896625495</v>
      </c>
    </row>
    <row r="93" spans="1:7" x14ac:dyDescent="0.2">
      <c r="A93" s="9" t="s">
        <v>84</v>
      </c>
      <c r="B93" s="69">
        <v>3</v>
      </c>
      <c r="C93" s="9" t="s">
        <v>120</v>
      </c>
      <c r="D93" s="9"/>
      <c r="E93" s="9"/>
    </row>
    <row r="94" spans="1:7" x14ac:dyDescent="0.2">
      <c r="A94" s="9"/>
      <c r="B94" s="19" t="s">
        <v>107</v>
      </c>
      <c r="C94" s="9"/>
      <c r="D94" s="19"/>
      <c r="E94" s="19" t="s">
        <v>108</v>
      </c>
    </row>
    <row r="95" spans="1:7" x14ac:dyDescent="0.2">
      <c r="A95" s="74" t="s">
        <v>91</v>
      </c>
      <c r="B95" s="75" t="s">
        <v>183</v>
      </c>
      <c r="C95" s="75" t="s">
        <v>184</v>
      </c>
      <c r="D95" s="75" t="s">
        <v>424</v>
      </c>
      <c r="E95" s="75" t="s">
        <v>183</v>
      </c>
      <c r="F95" s="75" t="s">
        <v>184</v>
      </c>
      <c r="G95" s="75" t="s">
        <v>424</v>
      </c>
    </row>
    <row r="96" spans="1:7" x14ac:dyDescent="0.2">
      <c r="A96" t="s">
        <v>1</v>
      </c>
      <c r="B96" s="68">
        <v>153.12525939941406</v>
      </c>
      <c r="C96" s="83">
        <v>0.21021544007362586</v>
      </c>
      <c r="D96" s="84">
        <v>0.90169447470546837</v>
      </c>
      <c r="E96" s="68">
        <v>149</v>
      </c>
      <c r="F96" s="83">
        <v>0.14000000059604645</v>
      </c>
      <c r="G96" s="84">
        <v>0.89633166661197794</v>
      </c>
    </row>
    <row r="97" spans="1:7" x14ac:dyDescent="0.2">
      <c r="A97" t="s">
        <v>2</v>
      </c>
      <c r="B97" s="68">
        <v>1260.9208984375</v>
      </c>
      <c r="C97" s="83">
        <v>0.17127222351971669</v>
      </c>
      <c r="D97" s="84">
        <v>0.64025170147689792</v>
      </c>
      <c r="E97" s="68">
        <v>1303</v>
      </c>
      <c r="F97" s="83">
        <v>5.9999998658895493E-2</v>
      </c>
      <c r="G97" s="84">
        <v>0.6592524463888163</v>
      </c>
    </row>
    <row r="98" spans="1:7" x14ac:dyDescent="0.2">
      <c r="A98" t="s">
        <v>3</v>
      </c>
      <c r="B98" s="68">
        <v>79.223312377929688</v>
      </c>
      <c r="C98" s="83">
        <v>0.15365549411396087</v>
      </c>
      <c r="D98" s="84">
        <v>0.840472034388834</v>
      </c>
      <c r="E98" s="68">
        <v>80.749786376953125</v>
      </c>
      <c r="F98" s="83">
        <v>9.1363482177257538E-2</v>
      </c>
      <c r="G98" s="84">
        <v>0.84619639635714194</v>
      </c>
    </row>
    <row r="99" spans="1:7" x14ac:dyDescent="0.2">
      <c r="A99" t="s">
        <v>4</v>
      </c>
      <c r="B99" s="68">
        <v>5.9649505615234375</v>
      </c>
      <c r="C99" s="83">
        <v>0.3877411518273588</v>
      </c>
      <c r="D99" s="84">
        <v>0.27783711918636289</v>
      </c>
      <c r="E99" s="68">
        <v>2.7999999523162842</v>
      </c>
      <c r="F99" s="83">
        <v>0.47999998927116394</v>
      </c>
      <c r="G99" s="84">
        <v>5.8037662141019686E-2</v>
      </c>
    </row>
    <row r="100" spans="1:7" x14ac:dyDescent="0.2">
      <c r="A100" t="s">
        <v>5</v>
      </c>
      <c r="B100" s="68">
        <v>0.38772857189178467</v>
      </c>
      <c r="C100" s="83">
        <v>0.28925990336905238</v>
      </c>
      <c r="D100" s="84">
        <v>8.8843889392670627E-2</v>
      </c>
      <c r="E100" s="68">
        <v>0.40000000596046448</v>
      </c>
      <c r="F100" s="83">
        <v>0.30000001192092896</v>
      </c>
      <c r="G100" s="84">
        <v>9.5621655458680621E-2</v>
      </c>
    </row>
    <row r="101" spans="1:7" x14ac:dyDescent="0.2">
      <c r="A101" t="s">
        <v>6</v>
      </c>
      <c r="B101" s="68">
        <v>475.97988891601563</v>
      </c>
      <c r="C101" s="83">
        <v>0.15971643737483987</v>
      </c>
      <c r="D101" s="84">
        <v>0.50326057300449634</v>
      </c>
      <c r="E101" s="68">
        <v>523</v>
      </c>
      <c r="F101" s="83">
        <v>9.0000003576278687E-2</v>
      </c>
      <c r="G101" s="84">
        <v>0.57647763076290715</v>
      </c>
    </row>
    <row r="102" spans="1:7" x14ac:dyDescent="0.2">
      <c r="A102" t="s">
        <v>7</v>
      </c>
      <c r="B102" s="68">
        <v>64.108612060546875</v>
      </c>
      <c r="C102" s="83">
        <v>0.288075357531899</v>
      </c>
      <c r="D102" s="84">
        <v>0.78795597631310521</v>
      </c>
      <c r="E102" s="68">
        <v>48</v>
      </c>
      <c r="F102" s="83">
        <v>0.2199999988079071</v>
      </c>
      <c r="G102" s="84">
        <v>0.6896084136531575</v>
      </c>
    </row>
    <row r="103" spans="1:7" x14ac:dyDescent="0.2">
      <c r="A103" t="s">
        <v>284</v>
      </c>
      <c r="B103" s="68">
        <v>493.18472290039063</v>
      </c>
      <c r="C103" s="83">
        <v>0.25717814434290248</v>
      </c>
      <c r="D103" s="84">
        <v>0.70335185839996595</v>
      </c>
      <c r="E103" s="68">
        <v>334.31405639648438</v>
      </c>
      <c r="F103" s="83">
        <v>0.30490678548812866</v>
      </c>
      <c r="G103" s="84">
        <v>0.59377596632054908</v>
      </c>
    </row>
    <row r="104" spans="1:7" x14ac:dyDescent="0.2">
      <c r="A104" t="s">
        <v>286</v>
      </c>
      <c r="B104" s="68">
        <v>1.998676061630249</v>
      </c>
      <c r="C104" s="83">
        <v>0.39907614454983659</v>
      </c>
      <c r="D104" s="84">
        <v>1.3159770395082204E-2</v>
      </c>
      <c r="E104" s="68">
        <v>1.2260769605636597</v>
      </c>
      <c r="F104" s="83">
        <v>0.38684695959091187</v>
      </c>
      <c r="G104" s="84">
        <v>8.1506591306212961E-4</v>
      </c>
    </row>
    <row r="105" spans="1:7" x14ac:dyDescent="0.2">
      <c r="A105" t="s">
        <v>288</v>
      </c>
      <c r="B105" s="68">
        <v>7.254981517791748</v>
      </c>
      <c r="C105" s="83">
        <v>0.28584004071379121</v>
      </c>
      <c r="D105" s="84">
        <v>0.10557610072220547</v>
      </c>
      <c r="E105" s="68">
        <v>7.7382550239562988</v>
      </c>
      <c r="F105" s="83">
        <v>0.15189632773399353</v>
      </c>
      <c r="G105" s="84">
        <v>0.12390035902940988</v>
      </c>
    </row>
    <row r="106" spans="1:7" x14ac:dyDescent="0.2">
      <c r="A106" t="s">
        <v>289</v>
      </c>
      <c r="B106" s="68">
        <v>8.8179130554199219</v>
      </c>
      <c r="C106" s="83">
        <v>0.49528081865596491</v>
      </c>
      <c r="D106" s="84">
        <v>0.11091212106391735</v>
      </c>
      <c r="E106" s="68">
        <v>7.7227721214294434</v>
      </c>
      <c r="F106" s="83">
        <v>0.25309187173843384</v>
      </c>
      <c r="G106" s="84">
        <v>8.7692217763429947E-2</v>
      </c>
    </row>
    <row r="107" spans="1:7" x14ac:dyDescent="0.2">
      <c r="A107" t="s">
        <v>8</v>
      </c>
      <c r="B107" s="68">
        <v>2.4300000667572021</v>
      </c>
      <c r="C107" s="83">
        <v>0.30899999207373202</v>
      </c>
      <c r="D107" s="84">
        <v>0.94208639877187172</v>
      </c>
      <c r="E107" s="68">
        <v>2.4300000667572021</v>
      </c>
      <c r="F107" s="83">
        <v>0.30899998545646667</v>
      </c>
      <c r="G107" s="84">
        <v>0.94208639877187172</v>
      </c>
    </row>
    <row r="108" spans="1:7" x14ac:dyDescent="0.2">
      <c r="A108" t="s">
        <v>9</v>
      </c>
      <c r="B108" s="68">
        <v>15.479100227355957</v>
      </c>
      <c r="C108" s="83">
        <v>0.33148288273127674</v>
      </c>
      <c r="D108" s="84">
        <v>0.97989871382738436</v>
      </c>
      <c r="E108" s="68">
        <v>15.479100227355957</v>
      </c>
      <c r="F108" s="83">
        <v>0.33148288726806641</v>
      </c>
      <c r="G108" s="84">
        <v>0.97989871382738436</v>
      </c>
    </row>
    <row r="109" spans="1:7" x14ac:dyDescent="0.2">
      <c r="A109" t="s">
        <v>293</v>
      </c>
      <c r="B109" s="68">
        <v>16.429018020629883</v>
      </c>
      <c r="C109" s="83">
        <v>0.31483040565881881</v>
      </c>
      <c r="D109" s="84">
        <v>0.98320337313913786</v>
      </c>
      <c r="E109" s="68">
        <v>15.924999237060547</v>
      </c>
      <c r="F109" s="83">
        <v>0.31501373648643494</v>
      </c>
      <c r="G109" s="84">
        <v>0.98083846693617338</v>
      </c>
    </row>
    <row r="110" spans="1:7" x14ac:dyDescent="0.2">
      <c r="A110" t="s">
        <v>295</v>
      </c>
      <c r="B110" s="68">
        <v>2.312781810760498</v>
      </c>
      <c r="C110" s="83">
        <v>0.58176122644011885</v>
      </c>
      <c r="D110" s="84">
        <v>1.8042998066800431E-2</v>
      </c>
      <c r="E110" s="68">
        <v>1.1200000047683716</v>
      </c>
      <c r="F110" s="83">
        <v>0.56603908538818359</v>
      </c>
      <c r="G110" s="84">
        <v>9.038934137376442E-4</v>
      </c>
    </row>
    <row r="111" spans="1:7" x14ac:dyDescent="0.2">
      <c r="A111" t="s">
        <v>297</v>
      </c>
      <c r="B111" s="68">
        <v>3.8954712450504303E-2</v>
      </c>
      <c r="C111" s="83">
        <v>0.43254142645490362</v>
      </c>
      <c r="D111" s="84">
        <v>5.5357998223678484E-3</v>
      </c>
      <c r="E111" s="68">
        <v>1.8791945651173592E-2</v>
      </c>
      <c r="F111" s="83">
        <v>0.49887356162071228</v>
      </c>
      <c r="G111" s="84">
        <v>1.1366019593450627E-4</v>
      </c>
    </row>
    <row r="112" spans="1:7" x14ac:dyDescent="0.2">
      <c r="A112" t="s">
        <v>10</v>
      </c>
      <c r="B112" s="68">
        <v>12.641327857971191</v>
      </c>
      <c r="C112" s="83">
        <v>1.0253995559772788</v>
      </c>
      <c r="D112" s="84">
        <v>0.27783711918636289</v>
      </c>
      <c r="E112" s="68">
        <v>0.90689462423324585</v>
      </c>
      <c r="F112" s="83">
        <v>2.1756291389465332</v>
      </c>
      <c r="G112" s="84">
        <v>5.8037662141019686E-2</v>
      </c>
    </row>
    <row r="113" spans="1:7" x14ac:dyDescent="0.2">
      <c r="A113" t="s">
        <v>11</v>
      </c>
      <c r="B113" s="68">
        <v>1.1877990961074829</v>
      </c>
      <c r="C113" s="83">
        <v>1.6266048175316052</v>
      </c>
      <c r="D113" s="84">
        <v>0.27783711918636289</v>
      </c>
      <c r="E113" s="68">
        <v>2.5120608508586884E-2</v>
      </c>
      <c r="F113" s="83">
        <v>3.0910048484802246</v>
      </c>
      <c r="G113" s="84">
        <v>5.8037662141019686E-2</v>
      </c>
    </row>
    <row r="114" spans="1:7" x14ac:dyDescent="0.2">
      <c r="A114" t="s">
        <v>12</v>
      </c>
      <c r="B114" s="68">
        <v>0.17821839451789856</v>
      </c>
      <c r="C114" s="83">
        <v>2.0000440728083757</v>
      </c>
      <c r="D114" s="84">
        <v>0.27783711918636289</v>
      </c>
      <c r="E114" s="68">
        <v>1.7934291390702128E-3</v>
      </c>
      <c r="F114" s="83">
        <v>3.6628913879394531</v>
      </c>
      <c r="G114" s="84">
        <v>5.8037662141019686E-2</v>
      </c>
    </row>
    <row r="115" spans="1:7" x14ac:dyDescent="0.2">
      <c r="A115" t="s">
        <v>13</v>
      </c>
      <c r="B115" s="68">
        <v>3.6538213491439819E-2</v>
      </c>
      <c r="C115" s="83">
        <v>2.2718384316279705</v>
      </c>
      <c r="D115" s="84">
        <v>0.27783711918636289</v>
      </c>
      <c r="E115" s="68">
        <v>2.1531237871386111E-4</v>
      </c>
      <c r="F115" s="83">
        <v>4.0836467742919922</v>
      </c>
      <c r="G115" s="84">
        <v>5.8037662141019686E-2</v>
      </c>
    </row>
    <row r="116" spans="1:7" x14ac:dyDescent="0.2">
      <c r="A116" t="s">
        <v>14</v>
      </c>
      <c r="B116" s="68">
        <v>9.303615428507328E-3</v>
      </c>
      <c r="C116" s="83">
        <v>2.485946504362019</v>
      </c>
      <c r="D116" s="84">
        <v>0.27783711918636289</v>
      </c>
      <c r="E116" s="68">
        <v>3.6069544876227155E-5</v>
      </c>
      <c r="F116" s="83">
        <v>4.4183063507080078</v>
      </c>
      <c r="G116" s="84">
        <v>5.8037662141019686E-2</v>
      </c>
    </row>
    <row r="117" spans="1:7" x14ac:dyDescent="0.2">
      <c r="A117" t="s">
        <v>15</v>
      </c>
      <c r="B117" s="68">
        <v>2.7781999669969082E-3</v>
      </c>
      <c r="C117" s="83">
        <v>2.6628126236026466</v>
      </c>
      <c r="D117" s="84">
        <v>0.27783711918636289</v>
      </c>
      <c r="E117" s="68">
        <v>7.6356545832823031E-6</v>
      </c>
      <c r="F117" s="83">
        <v>4.6970367431640625</v>
      </c>
      <c r="G117" s="84">
        <v>5.8037662141019686E-2</v>
      </c>
    </row>
    <row r="118" spans="1:7" x14ac:dyDescent="0.2">
      <c r="A118" t="s">
        <v>305</v>
      </c>
      <c r="B118" s="68">
        <v>76.700714111328125</v>
      </c>
      <c r="C118" s="83">
        <v>3.9698966773869873E-2</v>
      </c>
      <c r="D118" s="84">
        <v>0.90169447470546837</v>
      </c>
      <c r="E118" s="68">
        <v>76.306907653808594</v>
      </c>
      <c r="F118" s="83">
        <v>2.6067297905683517E-2</v>
      </c>
      <c r="G118" s="84">
        <v>0.89633166661197794</v>
      </c>
    </row>
    <row r="119" spans="1:7" x14ac:dyDescent="0.2">
      <c r="A119" t="s">
        <v>16</v>
      </c>
      <c r="B119" s="68">
        <v>48.119686126708984</v>
      </c>
      <c r="C119" s="83">
        <v>7.9147498993373436E-2</v>
      </c>
      <c r="D119" s="84">
        <v>0.27783711918636289</v>
      </c>
      <c r="E119" s="68">
        <v>40.700565338134766</v>
      </c>
      <c r="F119" s="83">
        <v>0.11399336904287338</v>
      </c>
      <c r="G119" s="84">
        <v>5.8037662141019686E-2</v>
      </c>
    </row>
    <row r="120" spans="1:7" x14ac:dyDescent="0.2">
      <c r="A120" t="s">
        <v>308</v>
      </c>
      <c r="B120" s="68">
        <v>73.652748107910156</v>
      </c>
      <c r="C120" s="83">
        <v>5.7159918276259741E-2</v>
      </c>
      <c r="D120" s="84">
        <v>0.91115611060732937</v>
      </c>
      <c r="E120" s="68">
        <v>73.203750610351563</v>
      </c>
      <c r="F120" s="83">
        <v>5.8185774832963943E-2</v>
      </c>
      <c r="G120" s="84">
        <v>0.90437834454131938</v>
      </c>
    </row>
    <row r="122" spans="1:7" x14ac:dyDescent="0.2">
      <c r="A122" s="9" t="s">
        <v>84</v>
      </c>
      <c r="B122" s="69">
        <v>4</v>
      </c>
      <c r="C122" s="9" t="s">
        <v>121</v>
      </c>
      <c r="D122" s="9"/>
      <c r="E122" s="9"/>
    </row>
    <row r="123" spans="1:7" x14ac:dyDescent="0.2">
      <c r="A123" s="9"/>
      <c r="B123" s="19" t="s">
        <v>107</v>
      </c>
      <c r="C123" s="9"/>
      <c r="D123" s="19"/>
      <c r="E123" s="19" t="s">
        <v>108</v>
      </c>
    </row>
    <row r="124" spans="1:7" x14ac:dyDescent="0.2">
      <c r="A124" s="74" t="s">
        <v>91</v>
      </c>
      <c r="B124" s="75" t="s">
        <v>183</v>
      </c>
      <c r="C124" s="75" t="s">
        <v>184</v>
      </c>
      <c r="D124" s="75" t="s">
        <v>424</v>
      </c>
      <c r="E124" s="75" t="s">
        <v>183</v>
      </c>
      <c r="F124" s="75" t="s">
        <v>184</v>
      </c>
      <c r="G124" s="75" t="s">
        <v>424</v>
      </c>
    </row>
    <row r="125" spans="1:7" x14ac:dyDescent="0.2">
      <c r="A125" t="s">
        <v>1</v>
      </c>
      <c r="B125" s="68">
        <v>233.2371826171875</v>
      </c>
      <c r="C125" s="83">
        <v>0.16091628709274983</v>
      </c>
      <c r="D125" s="84">
        <v>0.96069622999159809</v>
      </c>
      <c r="E125" s="68">
        <v>234</v>
      </c>
      <c r="F125" s="83">
        <v>0.10999999940395355</v>
      </c>
      <c r="G125" s="84">
        <v>0.96100345263896902</v>
      </c>
    </row>
    <row r="126" spans="1:7" x14ac:dyDescent="0.2">
      <c r="A126" t="s">
        <v>2</v>
      </c>
      <c r="B126" s="68">
        <v>1291.7747802734375</v>
      </c>
      <c r="C126" s="83">
        <v>0.11119695831061439</v>
      </c>
      <c r="D126" s="84">
        <v>0.65428111600204675</v>
      </c>
      <c r="E126" s="68">
        <v>1077</v>
      </c>
      <c r="F126" s="83">
        <v>0.11999999731779099</v>
      </c>
      <c r="G126" s="84">
        <v>0.54489893551449708</v>
      </c>
    </row>
    <row r="127" spans="1:7" x14ac:dyDescent="0.2">
      <c r="A127" t="s">
        <v>3</v>
      </c>
      <c r="B127" s="68">
        <v>88.099189758300781</v>
      </c>
      <c r="C127" s="83">
        <v>0.11665504927686209</v>
      </c>
      <c r="D127" s="84">
        <v>0.87058072444165546</v>
      </c>
      <c r="E127" s="68">
        <v>73.356010437011719</v>
      </c>
      <c r="F127" s="83">
        <v>0.11751806735992432</v>
      </c>
      <c r="G127" s="84">
        <v>0.81599769890502816</v>
      </c>
    </row>
    <row r="128" spans="1:7" x14ac:dyDescent="0.2">
      <c r="A128" t="s">
        <v>4</v>
      </c>
      <c r="B128" s="68">
        <v>13.600377082824707</v>
      </c>
      <c r="C128" s="83">
        <v>0.53771739666419982</v>
      </c>
      <c r="D128" s="84">
        <v>0.68477968022304969</v>
      </c>
      <c r="E128" s="68">
        <v>23.700000762939453</v>
      </c>
      <c r="F128" s="83">
        <v>0.52999997138977051</v>
      </c>
      <c r="G128" s="84">
        <v>0.8853910496555305</v>
      </c>
    </row>
    <row r="129" spans="1:7" x14ac:dyDescent="0.2">
      <c r="A129" t="s">
        <v>5</v>
      </c>
      <c r="B129" s="68">
        <v>0.21063676476478577</v>
      </c>
      <c r="C129" s="83">
        <v>0.57686398695937857</v>
      </c>
      <c r="D129" s="84">
        <v>1.5747327269524547E-2</v>
      </c>
      <c r="E129" s="68">
        <v>0.20000000298023224</v>
      </c>
      <c r="F129" s="83">
        <v>0.57999998331069946</v>
      </c>
      <c r="G129" s="84">
        <v>1.3245151935344257E-2</v>
      </c>
    </row>
    <row r="130" spans="1:7" x14ac:dyDescent="0.2">
      <c r="A130" t="s">
        <v>6</v>
      </c>
      <c r="B130" s="68">
        <v>798.97332763671875</v>
      </c>
      <c r="C130" s="83">
        <v>0.19770120528704038</v>
      </c>
      <c r="D130" s="84">
        <v>0.84702690001500269</v>
      </c>
      <c r="E130" s="68">
        <v>700</v>
      </c>
      <c r="F130" s="83">
        <v>5.9999998658895493E-2</v>
      </c>
      <c r="G130" s="84">
        <v>0.77770258201781417</v>
      </c>
    </row>
    <row r="131" spans="1:7" x14ac:dyDescent="0.2">
      <c r="A131" t="s">
        <v>7</v>
      </c>
      <c r="B131" s="68">
        <v>124.56641387939453</v>
      </c>
      <c r="C131" s="83">
        <v>0.49592531738758711</v>
      </c>
      <c r="D131" s="84">
        <v>0.93300737573753101</v>
      </c>
      <c r="E131" s="68">
        <v>148</v>
      </c>
      <c r="F131" s="83">
        <v>0.23999999463558197</v>
      </c>
      <c r="G131" s="84">
        <v>0.95352289605913421</v>
      </c>
    </row>
    <row r="132" spans="1:7" x14ac:dyDescent="0.2">
      <c r="A132" t="s">
        <v>284</v>
      </c>
      <c r="B132" s="68">
        <v>1332.1702880859375</v>
      </c>
      <c r="C132" s="83">
        <v>0.26266205095886558</v>
      </c>
      <c r="D132" s="84">
        <v>0.90192529143968958</v>
      </c>
      <c r="E132" s="68">
        <v>1591.7012939453125</v>
      </c>
      <c r="F132" s="83">
        <v>0.40314444899559021</v>
      </c>
      <c r="G132" s="84">
        <v>0.92342217728902798</v>
      </c>
    </row>
    <row r="133" spans="1:7" x14ac:dyDescent="0.2">
      <c r="A133" t="s">
        <v>286</v>
      </c>
      <c r="B133" s="68">
        <v>2.4843723773956299</v>
      </c>
      <c r="C133" s="83">
        <v>0.70538136472975177</v>
      </c>
      <c r="D133" s="84">
        <v>3.531113023402388E-2</v>
      </c>
      <c r="E133" s="68">
        <v>3.5742874145507813</v>
      </c>
      <c r="F133" s="83">
        <v>0.53388345241546631</v>
      </c>
      <c r="G133" s="84">
        <v>0.13213272519435859</v>
      </c>
    </row>
    <row r="134" spans="1:7" x14ac:dyDescent="0.2">
      <c r="A134" t="s">
        <v>288</v>
      </c>
      <c r="B134" s="68">
        <v>4.8953375816345215</v>
      </c>
      <c r="C134" s="83">
        <v>0.17144605889529693</v>
      </c>
      <c r="D134" s="84">
        <v>3.3767874015451671E-2</v>
      </c>
      <c r="E134" s="68">
        <v>3.961538553237915</v>
      </c>
      <c r="F134" s="83">
        <v>0.17562071979045868</v>
      </c>
      <c r="G134" s="84">
        <v>1.6222420411450722E-2</v>
      </c>
    </row>
    <row r="135" spans="1:7" x14ac:dyDescent="0.2">
      <c r="A135" t="s">
        <v>289</v>
      </c>
      <c r="B135" s="68">
        <v>4.5348114967346191</v>
      </c>
      <c r="C135" s="83">
        <v>0.6040300505413233</v>
      </c>
      <c r="D135" s="84">
        <v>2.9331616169036456E-2</v>
      </c>
      <c r="E135" s="68">
        <v>4.383720874786377</v>
      </c>
      <c r="F135" s="83">
        <v>0.62941974401473999</v>
      </c>
      <c r="G135" s="84">
        <v>2.7127251531257612E-2</v>
      </c>
    </row>
    <row r="136" spans="1:7" x14ac:dyDescent="0.2">
      <c r="A136" t="s">
        <v>8</v>
      </c>
      <c r="B136" s="68">
        <v>4.4074997901916504</v>
      </c>
      <c r="C136" s="83">
        <v>0.66180002667859383</v>
      </c>
      <c r="D136" s="84">
        <v>0.98774829426518496</v>
      </c>
      <c r="E136" s="68">
        <v>4.4074997901916504</v>
      </c>
      <c r="F136" s="83">
        <v>0.66180002689361572</v>
      </c>
      <c r="G136" s="84">
        <v>0.98774829426518496</v>
      </c>
    </row>
    <row r="137" spans="1:7" x14ac:dyDescent="0.2">
      <c r="A137" t="s">
        <v>9</v>
      </c>
      <c r="B137" s="68">
        <v>11.415424346923828</v>
      </c>
      <c r="C137" s="83">
        <v>0.67259085398985052</v>
      </c>
      <c r="D137" s="84">
        <v>0.95146534824050033</v>
      </c>
      <c r="E137" s="68">
        <v>11.415424346923828</v>
      </c>
      <c r="F137" s="83">
        <v>0.67259085178375244</v>
      </c>
      <c r="G137" s="84">
        <v>0.95146534824050033</v>
      </c>
    </row>
    <row r="138" spans="1:7" x14ac:dyDescent="0.2">
      <c r="A138" t="s">
        <v>293</v>
      </c>
      <c r="B138" s="68">
        <v>12.296049118041992</v>
      </c>
      <c r="C138" s="83">
        <v>0.60113638610261133</v>
      </c>
      <c r="D138" s="84">
        <v>0.94813468790490862</v>
      </c>
      <c r="E138" s="68">
        <v>12.949999809265137</v>
      </c>
      <c r="F138" s="83">
        <v>0.57575184106826782</v>
      </c>
      <c r="G138" s="84">
        <v>0.95692490641778005</v>
      </c>
    </row>
    <row r="139" spans="1:7" x14ac:dyDescent="0.2">
      <c r="A139" t="s">
        <v>295</v>
      </c>
      <c r="B139" s="68">
        <v>2.8647394180297852</v>
      </c>
      <c r="C139" s="83">
        <v>1.0430778564848784</v>
      </c>
      <c r="D139" s="84">
        <v>3.6433787508333371E-2</v>
      </c>
      <c r="E139" s="68">
        <v>4.7400002479553223</v>
      </c>
      <c r="F139" s="83">
        <v>0.78568404912948608</v>
      </c>
      <c r="G139" s="84">
        <v>0.13953390146163391</v>
      </c>
    </row>
    <row r="140" spans="1:7" x14ac:dyDescent="0.2">
      <c r="A140" t="s">
        <v>297</v>
      </c>
      <c r="B140" s="68">
        <v>5.8311358094215393E-2</v>
      </c>
      <c r="C140" s="83">
        <v>0.55114933785283327</v>
      </c>
      <c r="D140" s="84">
        <v>2.8314652729711787E-2</v>
      </c>
      <c r="E140" s="68">
        <v>0.10128205269575119</v>
      </c>
      <c r="F140" s="83">
        <v>0.54065322875976563</v>
      </c>
      <c r="G140" s="84">
        <v>0.14962136911137436</v>
      </c>
    </row>
    <row r="141" spans="1:7" x14ac:dyDescent="0.2">
      <c r="A141" t="s">
        <v>10</v>
      </c>
      <c r="B141" s="68">
        <v>57.384891510009766</v>
      </c>
      <c r="C141" s="83">
        <v>0.59592502468655906</v>
      </c>
      <c r="D141" s="84">
        <v>0.68477968022304969</v>
      </c>
      <c r="E141" s="68">
        <v>86.035202026367188</v>
      </c>
      <c r="F141" s="83">
        <v>0.21194767951965332</v>
      </c>
      <c r="G141" s="84">
        <v>0.8853910496555305</v>
      </c>
    </row>
    <row r="142" spans="1:7" x14ac:dyDescent="0.2">
      <c r="A142" t="s">
        <v>11</v>
      </c>
      <c r="B142" s="68">
        <v>17.563745498657227</v>
      </c>
      <c r="C142" s="83">
        <v>1.272783641807286</v>
      </c>
      <c r="D142" s="84">
        <v>0.68477968022304969</v>
      </c>
      <c r="E142" s="68">
        <v>48.546840667724609</v>
      </c>
      <c r="F142" s="83">
        <v>0.69809103012084961</v>
      </c>
      <c r="G142" s="84">
        <v>0.8853910496555305</v>
      </c>
    </row>
    <row r="143" spans="1:7" x14ac:dyDescent="0.2">
      <c r="A143" t="s">
        <v>12</v>
      </c>
      <c r="B143" s="68">
        <v>5.6361236572265625</v>
      </c>
      <c r="C143" s="83">
        <v>1.7325088177520165</v>
      </c>
      <c r="D143" s="84">
        <v>0.68477968022304969</v>
      </c>
      <c r="E143" s="68">
        <v>24.500244140625</v>
      </c>
      <c r="F143" s="83">
        <v>1.0983180999755859</v>
      </c>
      <c r="G143" s="84">
        <v>0.8853910496555305</v>
      </c>
    </row>
    <row r="144" spans="1:7" x14ac:dyDescent="0.2">
      <c r="A144" t="s">
        <v>13</v>
      </c>
      <c r="B144" s="68">
        <v>2.0189640522003174</v>
      </c>
      <c r="C144" s="83">
        <v>2.0744146463928534</v>
      </c>
      <c r="D144" s="84">
        <v>0.68477968022304969</v>
      </c>
      <c r="E144" s="68">
        <v>12.417829513549805</v>
      </c>
      <c r="F144" s="83">
        <v>1.4283312559127808</v>
      </c>
      <c r="G144" s="84">
        <v>0.8853910496555305</v>
      </c>
    </row>
    <row r="145" spans="1:7" x14ac:dyDescent="0.2">
      <c r="A145" t="s">
        <v>14</v>
      </c>
      <c r="B145" s="68">
        <v>0.79881542921066284</v>
      </c>
      <c r="C145" s="83">
        <v>2.345847050599609</v>
      </c>
      <c r="D145" s="84">
        <v>0.68477968022304969</v>
      </c>
      <c r="E145" s="68">
        <v>6.4983224868774414</v>
      </c>
      <c r="F145" s="83">
        <v>1.7028467655181885</v>
      </c>
      <c r="G145" s="84">
        <v>0.8853910496555305</v>
      </c>
    </row>
    <row r="146" spans="1:7" x14ac:dyDescent="0.2">
      <c r="A146" t="s">
        <v>15</v>
      </c>
      <c r="B146" s="68">
        <v>0.34335878491401672</v>
      </c>
      <c r="C146" s="83">
        <v>2.5707270328249741</v>
      </c>
      <c r="D146" s="84">
        <v>0.68477968022304969</v>
      </c>
      <c r="E146" s="68">
        <v>3.5287878513336182</v>
      </c>
      <c r="F146" s="83">
        <v>1.9374418258666992</v>
      </c>
      <c r="G146" s="84">
        <v>0.8853910496555305</v>
      </c>
    </row>
    <row r="147" spans="1:7" x14ac:dyDescent="0.2">
      <c r="A147" t="s">
        <v>305</v>
      </c>
      <c r="B147" s="68">
        <v>82.768646240234375</v>
      </c>
      <c r="C147" s="83">
        <v>2.8049640262579875E-2</v>
      </c>
      <c r="D147" s="84">
        <v>0.96069622999159809</v>
      </c>
      <c r="E147" s="68">
        <v>82.815727233886719</v>
      </c>
      <c r="F147" s="83">
        <v>1.8871763721108437E-2</v>
      </c>
      <c r="G147" s="84">
        <v>0.96100345263896902</v>
      </c>
    </row>
    <row r="148" spans="1:7" x14ac:dyDescent="0.2">
      <c r="A148" t="s">
        <v>16</v>
      </c>
      <c r="B148" s="68">
        <v>56.205055236816406</v>
      </c>
      <c r="C148" s="83">
        <v>9.4293690878895386E-2</v>
      </c>
      <c r="D148" s="84">
        <v>0.68477968022304969</v>
      </c>
      <c r="E148" s="68">
        <v>61.653308868408203</v>
      </c>
      <c r="F148" s="83">
        <v>8.3091862499713898E-2</v>
      </c>
      <c r="G148" s="84">
        <v>0.8853910496555305</v>
      </c>
    </row>
    <row r="149" spans="1:7" x14ac:dyDescent="0.2">
      <c r="A149" t="s">
        <v>308</v>
      </c>
      <c r="B149" s="68">
        <v>82.445304870605469</v>
      </c>
      <c r="C149" s="83">
        <v>0.10206097084934865</v>
      </c>
      <c r="D149" s="84">
        <v>0.98425267273047545</v>
      </c>
      <c r="E149" s="68">
        <v>83.192001342773438</v>
      </c>
      <c r="F149" s="83">
        <v>9.8986349999904633E-2</v>
      </c>
      <c r="G149" s="84">
        <v>0.98675484806465574</v>
      </c>
    </row>
    <row r="151" spans="1:7" x14ac:dyDescent="0.2">
      <c r="A151" s="9" t="s">
        <v>84</v>
      </c>
      <c r="B151" s="69">
        <v>5</v>
      </c>
      <c r="C151" s="9" t="s">
        <v>122</v>
      </c>
      <c r="D151" s="9"/>
      <c r="E151" s="9"/>
    </row>
    <row r="152" spans="1:7" x14ac:dyDescent="0.2">
      <c r="A152" s="9"/>
      <c r="B152" s="19" t="s">
        <v>107</v>
      </c>
      <c r="C152" s="9"/>
      <c r="D152" s="19"/>
      <c r="E152" s="19" t="s">
        <v>108</v>
      </c>
    </row>
    <row r="153" spans="1:7" x14ac:dyDescent="0.2">
      <c r="A153" s="74" t="s">
        <v>91</v>
      </c>
      <c r="B153" s="75" t="s">
        <v>183</v>
      </c>
      <c r="C153" s="75" t="s">
        <v>184</v>
      </c>
      <c r="D153" s="75" t="s">
        <v>424</v>
      </c>
      <c r="E153" s="75" t="s">
        <v>183</v>
      </c>
      <c r="F153" s="75" t="s">
        <v>184</v>
      </c>
      <c r="G153" s="75" t="s">
        <v>424</v>
      </c>
    </row>
    <row r="154" spans="1:7" x14ac:dyDescent="0.2">
      <c r="A154" t="s">
        <v>1</v>
      </c>
      <c r="B154" s="68">
        <v>153.41615295410156</v>
      </c>
      <c r="C154" s="83">
        <v>0.17774277845137965</v>
      </c>
      <c r="D154" s="84">
        <v>0.90205945851045155</v>
      </c>
      <c r="E154" s="68">
        <v>130</v>
      </c>
      <c r="F154" s="83">
        <v>0.15000000596046448</v>
      </c>
      <c r="G154" s="84">
        <v>0.86636128601808138</v>
      </c>
    </row>
    <row r="155" spans="1:7" x14ac:dyDescent="0.2">
      <c r="A155" t="s">
        <v>2</v>
      </c>
      <c r="B155" s="68">
        <v>1167.480224609375</v>
      </c>
      <c r="C155" s="83">
        <v>0.1189513669267859</v>
      </c>
      <c r="D155" s="84">
        <v>0.59438038670258675</v>
      </c>
      <c r="E155" s="68">
        <v>1099</v>
      </c>
      <c r="F155" s="83">
        <v>9.0000003576278687E-2</v>
      </c>
      <c r="G155" s="84">
        <v>0.55739950664287208</v>
      </c>
    </row>
    <row r="156" spans="1:7" x14ac:dyDescent="0.2">
      <c r="A156" t="s">
        <v>3</v>
      </c>
      <c r="B156" s="68">
        <v>74.210227966308594</v>
      </c>
      <c r="C156" s="83">
        <v>0.11366872561207472</v>
      </c>
      <c r="D156" s="84">
        <v>0.81982256976796464</v>
      </c>
      <c r="E156" s="68">
        <v>67.563743591308594</v>
      </c>
      <c r="F156" s="83">
        <v>0.11269430071115494</v>
      </c>
      <c r="G156" s="84">
        <v>0.78739096348745008</v>
      </c>
    </row>
    <row r="157" spans="1:7" x14ac:dyDescent="0.2">
      <c r="A157" t="s">
        <v>4</v>
      </c>
      <c r="B157" s="68">
        <v>6.9323534965515137</v>
      </c>
      <c r="C157" s="83">
        <v>0.35706771631838652</v>
      </c>
      <c r="D157" s="84">
        <v>0.34675895600939466</v>
      </c>
      <c r="E157" s="68">
        <v>7.1999998092651367</v>
      </c>
      <c r="F157" s="83">
        <v>0.61000001430511475</v>
      </c>
      <c r="G157" s="84">
        <v>0.36508906050901113</v>
      </c>
    </row>
    <row r="158" spans="1:7" x14ac:dyDescent="0.2">
      <c r="A158" t="s">
        <v>5</v>
      </c>
      <c r="B158" s="68">
        <v>0.40107345581054688</v>
      </c>
      <c r="C158" s="83">
        <v>0.23967635277717936</v>
      </c>
      <c r="D158" s="84">
        <v>9.622192580739819E-2</v>
      </c>
      <c r="E158" s="68">
        <v>0.40000000596046448</v>
      </c>
      <c r="F158" s="83">
        <v>0.23000000417232513</v>
      </c>
      <c r="G158" s="84">
        <v>9.5621655458680621E-2</v>
      </c>
    </row>
    <row r="159" spans="1:7" x14ac:dyDescent="0.2">
      <c r="A159" t="s">
        <v>6</v>
      </c>
      <c r="B159" s="68">
        <v>489.753662109375</v>
      </c>
      <c r="C159" s="83">
        <v>0.15974009561780103</v>
      </c>
      <c r="D159" s="84">
        <v>0.52555804003140694</v>
      </c>
      <c r="E159" s="68">
        <v>573</v>
      </c>
      <c r="F159" s="83">
        <v>5.000000074505806E-2</v>
      </c>
      <c r="G159" s="84">
        <v>0.64502314994838517</v>
      </c>
    </row>
    <row r="160" spans="1:7" x14ac:dyDescent="0.2">
      <c r="A160" t="s">
        <v>7</v>
      </c>
      <c r="B160" s="68">
        <v>63.223587036132813</v>
      </c>
      <c r="C160" s="83">
        <v>0.24570515307222537</v>
      </c>
      <c r="D160" s="84">
        <v>0.78368997370403437</v>
      </c>
      <c r="E160" s="68">
        <v>51</v>
      </c>
      <c r="F160" s="83">
        <v>0.15999999642372131</v>
      </c>
      <c r="G160" s="84">
        <v>0.71176767861625279</v>
      </c>
    </row>
    <row r="161" spans="1:7" x14ac:dyDescent="0.2">
      <c r="A161" t="s">
        <v>284</v>
      </c>
      <c r="B161" s="68">
        <v>512.98199462890625</v>
      </c>
      <c r="C161" s="83">
        <v>0.24660827440333136</v>
      </c>
      <c r="D161" s="84">
        <v>0.71366001155915182</v>
      </c>
      <c r="E161" s="68">
        <v>525.3955078125</v>
      </c>
      <c r="F161" s="83">
        <v>0.35869279503822327</v>
      </c>
      <c r="G161" s="84">
        <v>0.71983832872354647</v>
      </c>
    </row>
    <row r="162" spans="1:7" x14ac:dyDescent="0.2">
      <c r="A162" t="s">
        <v>286</v>
      </c>
      <c r="B162" s="68">
        <v>2.3092846870422363</v>
      </c>
      <c r="C162" s="83">
        <v>0.34454096401347845</v>
      </c>
      <c r="D162" s="84">
        <v>2.5777029449903899E-2</v>
      </c>
      <c r="E162" s="68">
        <v>2.4741406440734863</v>
      </c>
      <c r="F162" s="83">
        <v>0.44670224189758301</v>
      </c>
      <c r="G162" s="84">
        <v>3.4704767883249277E-2</v>
      </c>
    </row>
    <row r="163" spans="1:7" x14ac:dyDescent="0.2">
      <c r="A163" t="s">
        <v>288</v>
      </c>
      <c r="B163" s="68">
        <v>6.6321582794189453</v>
      </c>
      <c r="C163" s="83">
        <v>0.22218953538172409</v>
      </c>
      <c r="D163" s="84">
        <v>8.3454100075436188E-2</v>
      </c>
      <c r="E163" s="68">
        <v>7.3000001907348633</v>
      </c>
      <c r="F163" s="83">
        <v>0.17908483743667603</v>
      </c>
      <c r="G163" s="84">
        <v>0.10724382482333639</v>
      </c>
    </row>
    <row r="164" spans="1:7" x14ac:dyDescent="0.2">
      <c r="A164" t="s">
        <v>289</v>
      </c>
      <c r="B164" s="68">
        <v>7.5142173767089844</v>
      </c>
      <c r="C164" s="83">
        <v>0.4041245170895989</v>
      </c>
      <c r="D164" s="84">
        <v>8.3386772236762163E-2</v>
      </c>
      <c r="E164" s="68">
        <v>6.6582279205322266</v>
      </c>
      <c r="F164" s="83">
        <v>0.32365253567695618</v>
      </c>
      <c r="G164" s="84">
        <v>6.6249576091767626E-2</v>
      </c>
    </row>
    <row r="165" spans="1:7" x14ac:dyDescent="0.2">
      <c r="A165" t="s">
        <v>8</v>
      </c>
      <c r="B165" s="68">
        <v>2.3199999332427979</v>
      </c>
      <c r="C165" s="83">
        <v>0.25229999411777754</v>
      </c>
      <c r="D165" s="84">
        <v>0.93573080101400885</v>
      </c>
      <c r="E165" s="68">
        <v>2.3199999332427979</v>
      </c>
      <c r="F165" s="83">
        <v>0.25229999423027039</v>
      </c>
      <c r="G165" s="84">
        <v>0.93573080101400885</v>
      </c>
    </row>
    <row r="166" spans="1:7" x14ac:dyDescent="0.2">
      <c r="A166" t="s">
        <v>9</v>
      </c>
      <c r="B166" s="68">
        <v>13.339999198913574</v>
      </c>
      <c r="C166" s="83">
        <v>0.27938423713189647</v>
      </c>
      <c r="D166" s="84">
        <v>0.96855770105561956</v>
      </c>
      <c r="E166" s="68">
        <v>13.339999198913574</v>
      </c>
      <c r="F166" s="83">
        <v>0.27938422560691833</v>
      </c>
      <c r="G166" s="84">
        <v>0.96855770105561956</v>
      </c>
    </row>
    <row r="167" spans="1:7" x14ac:dyDescent="0.2">
      <c r="A167" t="s">
        <v>293</v>
      </c>
      <c r="B167" s="68">
        <v>14.336525917053223</v>
      </c>
      <c r="C167" s="83">
        <v>0.26655144545446507</v>
      </c>
      <c r="D167" s="84">
        <v>0.9706766815083161</v>
      </c>
      <c r="E167" s="68">
        <v>14.375</v>
      </c>
      <c r="F167" s="83">
        <v>0.25350233912467957</v>
      </c>
      <c r="G167" s="84">
        <v>0.97098279078783456</v>
      </c>
    </row>
    <row r="168" spans="1:7" x14ac:dyDescent="0.2">
      <c r="A168" t="s">
        <v>295</v>
      </c>
      <c r="B168" s="68">
        <v>2.7803828716278076</v>
      </c>
      <c r="C168" s="83">
        <v>0.49442439183584241</v>
      </c>
      <c r="D168" s="84">
        <v>3.3188057581205133E-2</v>
      </c>
      <c r="E168" s="68">
        <v>2.8799998760223389</v>
      </c>
      <c r="F168" s="83">
        <v>0.65192157030105591</v>
      </c>
      <c r="G168" s="84">
        <v>3.7037061433466412E-2</v>
      </c>
    </row>
    <row r="169" spans="1:7" x14ac:dyDescent="0.2">
      <c r="A169" t="s">
        <v>297</v>
      </c>
      <c r="B169" s="68">
        <v>4.5186594128608704E-2</v>
      </c>
      <c r="C169" s="83">
        <v>0.39079238459724291</v>
      </c>
      <c r="D169" s="84">
        <v>1.0524655136660899E-2</v>
      </c>
      <c r="E169" s="68">
        <v>5.5384613573551178E-2</v>
      </c>
      <c r="F169" s="83">
        <v>0.62714302539825439</v>
      </c>
      <c r="G169" s="84">
        <v>2.3454084351113624E-2</v>
      </c>
    </row>
    <row r="170" spans="1:7" x14ac:dyDescent="0.2">
      <c r="A170" t="s">
        <v>10</v>
      </c>
      <c r="B170" s="68">
        <v>18.377592086791992</v>
      </c>
      <c r="C170" s="83">
        <v>0.83333304443614409</v>
      </c>
      <c r="D170" s="84">
        <v>0.34675895600939466</v>
      </c>
      <c r="E170" s="68">
        <v>20.046487808227539</v>
      </c>
      <c r="F170" s="83">
        <v>1.3828548192977905</v>
      </c>
      <c r="G170" s="84">
        <v>0.36508906050901113</v>
      </c>
    </row>
    <row r="171" spans="1:7" x14ac:dyDescent="0.2">
      <c r="A171" t="s">
        <v>11</v>
      </c>
      <c r="B171" s="68">
        <v>2.1752843856811523</v>
      </c>
      <c r="C171" s="83">
        <v>1.3805282898132873</v>
      </c>
      <c r="D171" s="84">
        <v>0.34675895600939466</v>
      </c>
      <c r="E171" s="68">
        <v>2.5128943920135498</v>
      </c>
      <c r="F171" s="83">
        <v>2.3710143566131592</v>
      </c>
      <c r="G171" s="84">
        <v>0.36508906050901113</v>
      </c>
    </row>
    <row r="172" spans="1:7" x14ac:dyDescent="0.2">
      <c r="A172" t="s">
        <v>12</v>
      </c>
      <c r="B172" s="68">
        <v>0.37677282094955444</v>
      </c>
      <c r="C172" s="83">
        <v>1.7256237288334759</v>
      </c>
      <c r="D172" s="84">
        <v>0.34675895600939466</v>
      </c>
      <c r="E172" s="68">
        <v>0.45116251707077026</v>
      </c>
      <c r="F172" s="83">
        <v>3.0142409801483154</v>
      </c>
      <c r="G172" s="84">
        <v>0.36508906050901113</v>
      </c>
    </row>
    <row r="173" spans="1:7" x14ac:dyDescent="0.2">
      <c r="A173" t="s">
        <v>13</v>
      </c>
      <c r="B173" s="68">
        <v>8.5734054446220398E-2</v>
      </c>
      <c r="C173" s="83">
        <v>1.978443947209354</v>
      </c>
      <c r="D173" s="84">
        <v>0.34675895600939466</v>
      </c>
      <c r="E173" s="68">
        <v>0.10537977516651154</v>
      </c>
      <c r="F173" s="83">
        <v>3.4942538738250732</v>
      </c>
      <c r="G173" s="84">
        <v>0.36508906050901113</v>
      </c>
    </row>
    <row r="174" spans="1:7" x14ac:dyDescent="0.2">
      <c r="A174" t="s">
        <v>14</v>
      </c>
      <c r="B174" s="68">
        <v>2.3693384602665901E-2</v>
      </c>
      <c r="C174" s="83">
        <v>2.1784144135277752</v>
      </c>
      <c r="D174" s="84">
        <v>0.34675895600939466</v>
      </c>
      <c r="E174" s="68">
        <v>2.972746267914772E-2</v>
      </c>
      <c r="F174" s="83">
        <v>3.8788659572601318</v>
      </c>
      <c r="G174" s="84">
        <v>0.36508906050901113</v>
      </c>
    </row>
    <row r="175" spans="1:7" x14ac:dyDescent="0.2">
      <c r="A175" t="s">
        <v>15</v>
      </c>
      <c r="B175" s="68">
        <v>7.5690029188990593E-3</v>
      </c>
      <c r="C175" s="83">
        <v>2.3440809928539141</v>
      </c>
      <c r="D175" s="84">
        <v>0.34675895600939466</v>
      </c>
      <c r="E175" s="68">
        <v>9.6589075401425362E-3</v>
      </c>
      <c r="F175" s="83">
        <v>4.2006635665893555</v>
      </c>
      <c r="G175" s="84">
        <v>0.36508906050901113</v>
      </c>
    </row>
    <row r="176" spans="1:7" x14ac:dyDescent="0.2">
      <c r="A176" t="s">
        <v>305</v>
      </c>
      <c r="B176" s="68">
        <v>76.728080749511719</v>
      </c>
      <c r="C176" s="83">
        <v>3.3542989401048197E-2</v>
      </c>
      <c r="D176" s="84">
        <v>0.90205945851045155</v>
      </c>
      <c r="E176" s="68">
        <v>74.33984375</v>
      </c>
      <c r="F176" s="83">
        <v>2.8668319806456566E-2</v>
      </c>
      <c r="G176" s="84">
        <v>0.86636128601808138</v>
      </c>
    </row>
    <row r="177" spans="1:7" x14ac:dyDescent="0.2">
      <c r="A177" t="s">
        <v>16</v>
      </c>
      <c r="B177" s="68">
        <v>49.5941162109375</v>
      </c>
      <c r="C177" s="83">
        <v>7.0562742112914273E-2</v>
      </c>
      <c r="D177" s="84">
        <v>0.34675895600939466</v>
      </c>
      <c r="E177" s="68">
        <v>49.965736389160156</v>
      </c>
      <c r="F177" s="83">
        <v>0.11800236999988556</v>
      </c>
      <c r="G177" s="84">
        <v>0.36508906050901113</v>
      </c>
    </row>
    <row r="178" spans="1:7" x14ac:dyDescent="0.2">
      <c r="A178" t="s">
        <v>308</v>
      </c>
      <c r="B178" s="68">
        <v>73.165130615234375</v>
      </c>
      <c r="C178" s="83">
        <v>4.7592359204482897E-2</v>
      </c>
      <c r="D178" s="84">
        <v>0.90377807419260181</v>
      </c>
      <c r="E178" s="68">
        <v>73.203750610351563</v>
      </c>
      <c r="F178" s="83">
        <v>4.4609095901250839E-2</v>
      </c>
      <c r="G178" s="84">
        <v>0.90437834454131938</v>
      </c>
    </row>
    <row r="180" spans="1:7" x14ac:dyDescent="0.2">
      <c r="A180" s="9" t="s">
        <v>84</v>
      </c>
      <c r="B180" s="69">
        <v>6</v>
      </c>
      <c r="C180" s="9" t="s">
        <v>123</v>
      </c>
      <c r="D180" s="9"/>
      <c r="E180" s="9"/>
    </row>
    <row r="181" spans="1:7" x14ac:dyDescent="0.2">
      <c r="A181" s="9"/>
      <c r="B181" s="19" t="s">
        <v>107</v>
      </c>
      <c r="C181" s="9"/>
      <c r="D181" s="19"/>
      <c r="E181" s="19" t="s">
        <v>108</v>
      </c>
    </row>
    <row r="182" spans="1:7" x14ac:dyDescent="0.2">
      <c r="A182" s="74" t="s">
        <v>91</v>
      </c>
      <c r="B182" s="75" t="s">
        <v>183</v>
      </c>
      <c r="C182" s="75" t="s">
        <v>184</v>
      </c>
      <c r="D182" s="75" t="s">
        <v>424</v>
      </c>
      <c r="E182" s="75" t="s">
        <v>183</v>
      </c>
      <c r="F182" s="75" t="s">
        <v>184</v>
      </c>
      <c r="G182" s="75" t="s">
        <v>424</v>
      </c>
    </row>
    <row r="183" spans="1:7" x14ac:dyDescent="0.2">
      <c r="A183" t="s">
        <v>1</v>
      </c>
      <c r="B183" s="68">
        <v>104.82675170898438</v>
      </c>
      <c r="C183" s="83">
        <v>0.2840377391941874</v>
      </c>
      <c r="D183" s="84">
        <v>0.80790858048131131</v>
      </c>
      <c r="E183" s="68">
        <v>99</v>
      </c>
      <c r="F183" s="83">
        <v>0.12999999523162842</v>
      </c>
      <c r="G183" s="84">
        <v>0.79007218293590509</v>
      </c>
    </row>
    <row r="184" spans="1:7" x14ac:dyDescent="0.2">
      <c r="A184" t="s">
        <v>2</v>
      </c>
      <c r="B184" s="68">
        <v>1077.22021484375</v>
      </c>
      <c r="C184" s="83">
        <v>0.16982446199728379</v>
      </c>
      <c r="D184" s="84">
        <v>0.54502552638969148</v>
      </c>
      <c r="E184" s="68">
        <v>1079</v>
      </c>
      <c r="F184" s="83">
        <v>0.10000000149011612</v>
      </c>
      <c r="G184" s="84">
        <v>0.54604791940393516</v>
      </c>
    </row>
    <row r="185" spans="1:7" x14ac:dyDescent="0.2">
      <c r="A185" t="s">
        <v>3</v>
      </c>
      <c r="B185" s="68">
        <v>62.197517395019531</v>
      </c>
      <c r="C185" s="83">
        <v>0.17632200202038739</v>
      </c>
      <c r="D185" s="84">
        <v>0.75614499671820223</v>
      </c>
      <c r="E185" s="68">
        <v>60.984420776367188</v>
      </c>
      <c r="F185" s="83">
        <v>0.11316485702991486</v>
      </c>
      <c r="G185" s="84">
        <v>0.74835906004856312</v>
      </c>
    </row>
    <row r="186" spans="1:7" x14ac:dyDescent="0.2">
      <c r="A186" t="s">
        <v>4</v>
      </c>
      <c r="B186" s="68">
        <v>6.9231500625610352</v>
      </c>
      <c r="C186" s="83">
        <v>0.36505295561695339</v>
      </c>
      <c r="D186" s="84">
        <v>0.34612229366400427</v>
      </c>
      <c r="E186" s="68">
        <v>8.6999998092651367</v>
      </c>
      <c r="F186" s="83">
        <v>0.43999999761581421</v>
      </c>
      <c r="G186" s="84">
        <v>0.46052149050844027</v>
      </c>
    </row>
    <row r="187" spans="1:7" x14ac:dyDescent="0.2">
      <c r="A187" t="s">
        <v>5</v>
      </c>
      <c r="B187" s="68">
        <v>0.61641687154769897</v>
      </c>
      <c r="C187" s="83">
        <v>0.25983455387660248</v>
      </c>
      <c r="D187" s="84">
        <v>0.23029196021156295</v>
      </c>
      <c r="E187" s="68">
        <v>0.60000002384185791</v>
      </c>
      <c r="F187" s="83">
        <v>0.25</v>
      </c>
      <c r="G187" s="84">
        <v>0.21964175371883909</v>
      </c>
    </row>
    <row r="188" spans="1:7" x14ac:dyDescent="0.2">
      <c r="A188" t="s">
        <v>6</v>
      </c>
      <c r="B188" s="68">
        <v>423.97259521484375</v>
      </c>
      <c r="C188" s="83">
        <v>0.1672108070030886</v>
      </c>
      <c r="D188" s="84">
        <v>0.41344073584011809</v>
      </c>
      <c r="E188" s="68">
        <v>508</v>
      </c>
      <c r="F188" s="83">
        <v>7.0000000298023224E-2</v>
      </c>
      <c r="G188" s="84">
        <v>0.55402279240244101</v>
      </c>
    </row>
    <row r="189" spans="1:7" x14ac:dyDescent="0.2">
      <c r="A189" t="s">
        <v>7</v>
      </c>
      <c r="B189" s="68">
        <v>42.569248199462891</v>
      </c>
      <c r="C189" s="83">
        <v>0.25356071653598022</v>
      </c>
      <c r="D189" s="84">
        <v>0.64369470132160911</v>
      </c>
      <c r="E189" s="68">
        <v>37</v>
      </c>
      <c r="F189" s="83">
        <v>0.15000000596046448</v>
      </c>
      <c r="G189" s="84">
        <v>0.58735971259461528</v>
      </c>
    </row>
    <row r="190" spans="1:7" x14ac:dyDescent="0.2">
      <c r="A190" t="s">
        <v>284</v>
      </c>
      <c r="B190" s="68">
        <v>358.18856811523438</v>
      </c>
      <c r="C190" s="83">
        <v>0.28287069591430336</v>
      </c>
      <c r="D190" s="84">
        <v>0.61406302394587087</v>
      </c>
      <c r="E190" s="68">
        <v>434.34783935546875</v>
      </c>
      <c r="F190" s="83">
        <v>0.27748751640319824</v>
      </c>
      <c r="G190" s="84">
        <v>0.66897682907360956</v>
      </c>
    </row>
    <row r="191" spans="1:7" x14ac:dyDescent="0.2">
      <c r="A191" t="s">
        <v>286</v>
      </c>
      <c r="B191" s="68">
        <v>3.1248538494110107</v>
      </c>
      <c r="C191" s="83">
        <v>0.36077452209095295</v>
      </c>
      <c r="D191" s="84">
        <v>8.5056940234691014E-2</v>
      </c>
      <c r="E191" s="68">
        <v>3.713120698928833</v>
      </c>
      <c r="F191" s="83">
        <v>0.34640145301818848</v>
      </c>
      <c r="G191" s="84">
        <v>0.14826125484621</v>
      </c>
    </row>
    <row r="192" spans="1:7" x14ac:dyDescent="0.2">
      <c r="A192" t="s">
        <v>288</v>
      </c>
      <c r="B192" s="68">
        <v>8.8452634811401367</v>
      </c>
      <c r="C192" s="83">
        <v>0.31922396379561785</v>
      </c>
      <c r="D192" s="84">
        <v>0.16868609101821885</v>
      </c>
      <c r="E192" s="68">
        <v>9.3838386535644531</v>
      </c>
      <c r="F192" s="83">
        <v>0.17152215540409088</v>
      </c>
      <c r="G192" s="84">
        <v>0.19144699949788113</v>
      </c>
    </row>
    <row r="193" spans="1:7" x14ac:dyDescent="0.2">
      <c r="A193" t="s">
        <v>289</v>
      </c>
      <c r="B193" s="68">
        <v>10.492672920227051</v>
      </c>
      <c r="C193" s="83">
        <v>0.54967581458873793</v>
      </c>
      <c r="D193" s="84">
        <v>0.1476073947738612</v>
      </c>
      <c r="E193" s="68">
        <v>9.2096776962280273</v>
      </c>
      <c r="F193" s="83">
        <v>0.29518646001815796</v>
      </c>
      <c r="G193" s="84">
        <v>0.11940634651406656</v>
      </c>
    </row>
    <row r="194" spans="1:7" x14ac:dyDescent="0.2">
      <c r="A194" t="s">
        <v>8</v>
      </c>
      <c r="B194" s="68">
        <v>1.4492000341415405</v>
      </c>
      <c r="C194" s="83">
        <v>0.29499998544198502</v>
      </c>
      <c r="D194" s="84">
        <v>0.83772945137769583</v>
      </c>
      <c r="E194" s="68">
        <v>1.4492000341415405</v>
      </c>
      <c r="F194" s="83">
        <v>0.29499998688697815</v>
      </c>
      <c r="G194" s="84">
        <v>0.83772945137769583</v>
      </c>
    </row>
    <row r="195" spans="1:7" x14ac:dyDescent="0.2">
      <c r="A195" t="s">
        <v>9</v>
      </c>
      <c r="B195" s="68">
        <v>9.9849882125854492</v>
      </c>
      <c r="C195" s="83">
        <v>0.31847246182373684</v>
      </c>
      <c r="D195" s="84">
        <v>0.93145312175878581</v>
      </c>
      <c r="E195" s="68">
        <v>9.9849882125854492</v>
      </c>
      <c r="F195" s="83">
        <v>0.3184724748134613</v>
      </c>
      <c r="G195" s="84">
        <v>0.93145312175878581</v>
      </c>
    </row>
    <row r="196" spans="1:7" x14ac:dyDescent="0.2">
      <c r="A196" t="s">
        <v>293</v>
      </c>
      <c r="B196" s="68">
        <v>11.17750072479248</v>
      </c>
      <c r="C196" s="83">
        <v>0.28317928998795477</v>
      </c>
      <c r="D196" s="84">
        <v>0.92828755661417806</v>
      </c>
      <c r="E196" s="68">
        <v>11.483332633972168</v>
      </c>
      <c r="F196" s="83">
        <v>0.27076223492622375</v>
      </c>
      <c r="G196" s="84">
        <v>0.93441912605339705</v>
      </c>
    </row>
    <row r="197" spans="1:7" x14ac:dyDescent="0.2">
      <c r="A197" t="s">
        <v>295</v>
      </c>
      <c r="B197" s="68">
        <v>4.2675466537475586</v>
      </c>
      <c r="C197" s="83">
        <v>0.51536614221307064</v>
      </c>
      <c r="D197" s="84">
        <v>0.10921417759311658</v>
      </c>
      <c r="E197" s="68">
        <v>5.2200002670288086</v>
      </c>
      <c r="F197" s="83">
        <v>0.50606244802474976</v>
      </c>
      <c r="G197" s="84">
        <v>0.17203026448856606</v>
      </c>
    </row>
    <row r="198" spans="1:7" x14ac:dyDescent="0.2">
      <c r="A198" t="s">
        <v>297</v>
      </c>
      <c r="B198" s="68">
        <v>6.6043734550476074E-2</v>
      </c>
      <c r="C198" s="83">
        <v>0.42802405349651818</v>
      </c>
      <c r="D198" s="84">
        <v>4.359838817689965E-2</v>
      </c>
      <c r="E198" s="68">
        <v>8.7878786027431488E-2</v>
      </c>
      <c r="F198" s="83">
        <v>0.45774400234222412</v>
      </c>
      <c r="G198" s="84">
        <v>0.10360910854158889</v>
      </c>
    </row>
    <row r="199" spans="1:7" x14ac:dyDescent="0.2">
      <c r="A199" t="s">
        <v>10</v>
      </c>
      <c r="B199" s="68">
        <v>18.320680618286133</v>
      </c>
      <c r="C199" s="83">
        <v>0.85315793879654633</v>
      </c>
      <c r="D199" s="84">
        <v>0.34612229366400427</v>
      </c>
      <c r="E199" s="68">
        <v>29.642070770263672</v>
      </c>
      <c r="F199" s="83">
        <v>0.8257896900177002</v>
      </c>
      <c r="G199" s="84">
        <v>0.46052149050844027</v>
      </c>
    </row>
    <row r="200" spans="1:7" x14ac:dyDescent="0.2">
      <c r="A200" t="s">
        <v>11</v>
      </c>
      <c r="B200" s="68">
        <v>2.1641764640808105</v>
      </c>
      <c r="C200" s="83">
        <v>1.4136353353531239</v>
      </c>
      <c r="D200" s="84">
        <v>0.34612229366400427</v>
      </c>
      <c r="E200" s="68">
        <v>4.9197859764099121</v>
      </c>
      <c r="F200" s="83">
        <v>1.504502534866333</v>
      </c>
      <c r="G200" s="84">
        <v>0.46052149050844027</v>
      </c>
    </row>
    <row r="201" spans="1:7" x14ac:dyDescent="0.2">
      <c r="A201" t="s">
        <v>12</v>
      </c>
      <c r="B201" s="68">
        <v>0.37437629699707031</v>
      </c>
      <c r="C201" s="83">
        <v>1.767191191873978</v>
      </c>
      <c r="D201" s="84">
        <v>0.34612229366400427</v>
      </c>
      <c r="E201" s="68">
        <v>1.0548509359359741</v>
      </c>
      <c r="F201" s="83">
        <v>1.9539604187011719</v>
      </c>
      <c r="G201" s="84">
        <v>0.46052149050844027</v>
      </c>
    </row>
    <row r="202" spans="1:7" x14ac:dyDescent="0.2">
      <c r="A202" t="s">
        <v>13</v>
      </c>
      <c r="B202" s="68">
        <v>8.5110597312450409E-2</v>
      </c>
      <c r="C202" s="83">
        <v>2.0262203271347303</v>
      </c>
      <c r="D202" s="84">
        <v>0.34612229366400427</v>
      </c>
      <c r="E202" s="68">
        <v>0.280478835105896</v>
      </c>
      <c r="F202" s="83">
        <v>2.2911801338195801</v>
      </c>
      <c r="G202" s="84">
        <v>0.46052149050844027</v>
      </c>
    </row>
    <row r="203" spans="1:7" x14ac:dyDescent="0.2">
      <c r="A203" t="s">
        <v>14</v>
      </c>
      <c r="B203" s="68">
        <v>2.3504121229052544E-2</v>
      </c>
      <c r="C203" s="83">
        <v>2.2310943337944988</v>
      </c>
      <c r="D203" s="84">
        <v>0.34612229366400427</v>
      </c>
      <c r="E203" s="68">
        <v>8.7627127766609192E-2</v>
      </c>
      <c r="F203" s="83">
        <v>2.5621082782745361</v>
      </c>
      <c r="G203" s="84">
        <v>0.46052149050844027</v>
      </c>
    </row>
    <row r="204" spans="1:7" x14ac:dyDescent="0.2">
      <c r="A204" t="s">
        <v>15</v>
      </c>
      <c r="B204" s="68">
        <v>7.5040780939161777E-3</v>
      </c>
      <c r="C204" s="83">
        <v>2.4008131212356156</v>
      </c>
      <c r="D204" s="84">
        <v>0.34612229366400427</v>
      </c>
      <c r="E204" s="68">
        <v>3.0973732471466064E-2</v>
      </c>
      <c r="F204" s="83">
        <v>2.7891552448272705</v>
      </c>
      <c r="G204" s="84">
        <v>0.46052149050844027</v>
      </c>
    </row>
    <row r="205" spans="1:7" x14ac:dyDescent="0.2">
      <c r="A205" t="s">
        <v>305</v>
      </c>
      <c r="B205" s="68">
        <v>71.236297607421875</v>
      </c>
      <c r="C205" s="83">
        <v>5.7778312893529013E-2</v>
      </c>
      <c r="D205" s="84">
        <v>0.80790858048131131</v>
      </c>
      <c r="E205" s="68">
        <v>70.411628723144531</v>
      </c>
      <c r="F205" s="83">
        <v>2.6232024654746056E-2</v>
      </c>
      <c r="G205" s="84">
        <v>0.79007218293590509</v>
      </c>
    </row>
    <row r="206" spans="1:7" x14ac:dyDescent="0.2">
      <c r="A206" t="s">
        <v>16</v>
      </c>
      <c r="B206" s="68">
        <v>49.581085205078125</v>
      </c>
      <c r="C206" s="83">
        <v>7.2128818104750747E-2</v>
      </c>
      <c r="D206" s="84">
        <v>0.34612229366400427</v>
      </c>
      <c r="E206" s="68">
        <v>51.822196960449219</v>
      </c>
      <c r="F206" s="83">
        <v>8.2068309187889099E-2</v>
      </c>
      <c r="G206" s="84">
        <v>0.46052149050844027</v>
      </c>
    </row>
    <row r="207" spans="1:7" x14ac:dyDescent="0.2">
      <c r="A207" t="s">
        <v>308</v>
      </c>
      <c r="B207" s="68">
        <v>66.972015380859375</v>
      </c>
      <c r="C207" s="83">
        <v>5.6362022202383774E-2</v>
      </c>
      <c r="D207" s="84">
        <v>0.76970803978843705</v>
      </c>
      <c r="E207" s="68">
        <v>67.361000061035156</v>
      </c>
      <c r="F207" s="83">
        <v>5.2694801241159439E-2</v>
      </c>
      <c r="G207" s="84">
        <v>0.78035824628116091</v>
      </c>
    </row>
    <row r="209" spans="1:7" x14ac:dyDescent="0.2">
      <c r="A209" s="9" t="s">
        <v>84</v>
      </c>
      <c r="B209" s="69">
        <v>7</v>
      </c>
      <c r="C209" s="9" t="s">
        <v>124</v>
      </c>
      <c r="D209" s="9"/>
      <c r="E209" s="9"/>
    </row>
    <row r="210" spans="1:7" x14ac:dyDescent="0.2">
      <c r="A210" s="9"/>
      <c r="B210" s="19" t="s">
        <v>107</v>
      </c>
      <c r="C210" s="9"/>
      <c r="D210" s="19"/>
      <c r="E210" s="19" t="s">
        <v>108</v>
      </c>
    </row>
    <row r="211" spans="1:7" x14ac:dyDescent="0.2">
      <c r="A211" s="74" t="s">
        <v>91</v>
      </c>
      <c r="B211" s="75" t="s">
        <v>183</v>
      </c>
      <c r="C211" s="75" t="s">
        <v>184</v>
      </c>
      <c r="D211" s="75" t="s">
        <v>424</v>
      </c>
      <c r="E211" s="75" t="s">
        <v>183</v>
      </c>
      <c r="F211" s="75" t="s">
        <v>184</v>
      </c>
      <c r="G211" s="75" t="s">
        <v>424</v>
      </c>
    </row>
    <row r="212" spans="1:7" x14ac:dyDescent="0.2">
      <c r="A212" t="s">
        <v>1</v>
      </c>
      <c r="B212" s="68">
        <v>132.70794677734375</v>
      </c>
      <c r="C212" s="83">
        <v>0.23878914483691627</v>
      </c>
      <c r="D212" s="84">
        <v>0.87123768440851568</v>
      </c>
      <c r="E212" s="68">
        <v>145</v>
      </c>
      <c r="F212" s="83">
        <v>0.18000000715255737</v>
      </c>
      <c r="G212" s="84">
        <v>0.89077993824844048</v>
      </c>
    </row>
    <row r="213" spans="1:7" x14ac:dyDescent="0.2">
      <c r="A213" t="s">
        <v>2</v>
      </c>
      <c r="B213" s="68">
        <v>1196.9022216796875</v>
      </c>
      <c r="C213" s="83">
        <v>0.16970562402152986</v>
      </c>
      <c r="D213" s="84">
        <v>0.6093850523313491</v>
      </c>
      <c r="E213" s="68">
        <v>1277</v>
      </c>
      <c r="F213" s="83">
        <v>5.000000074505806E-2</v>
      </c>
      <c r="G213" s="84">
        <v>0.64763026200074414</v>
      </c>
    </row>
    <row r="214" spans="1:7" x14ac:dyDescent="0.2">
      <c r="A214" t="s">
        <v>3</v>
      </c>
      <c r="B214" s="68">
        <v>72.899978637695313</v>
      </c>
      <c r="C214" s="83">
        <v>0.15602066748190571</v>
      </c>
      <c r="D214" s="84">
        <v>0.81391667004086465</v>
      </c>
      <c r="E214" s="68">
        <v>78.826530456542969</v>
      </c>
      <c r="F214" s="83">
        <v>0.10110220313072205</v>
      </c>
      <c r="G214" s="84">
        <v>0.83894313761001049</v>
      </c>
    </row>
    <row r="215" spans="1:7" x14ac:dyDescent="0.2">
      <c r="A215" t="s">
        <v>4</v>
      </c>
      <c r="B215" s="68">
        <v>5.500551700592041</v>
      </c>
      <c r="C215" s="83">
        <v>0.38276986336919999</v>
      </c>
      <c r="D215" s="84">
        <v>0.24367128469210286</v>
      </c>
      <c r="E215" s="68">
        <v>3.5999999046325684</v>
      </c>
      <c r="F215" s="83">
        <v>0.56999999284744263</v>
      </c>
      <c r="G215" s="84">
        <v>0.10655125025791379</v>
      </c>
    </row>
    <row r="216" spans="1:7" x14ac:dyDescent="0.2">
      <c r="A216" t="s">
        <v>5</v>
      </c>
      <c r="B216" s="68">
        <v>0.48839721083641052</v>
      </c>
      <c r="C216" s="83">
        <v>0.28202569051515214</v>
      </c>
      <c r="D216" s="84">
        <v>0.14819788363691644</v>
      </c>
      <c r="E216" s="68">
        <v>0.5</v>
      </c>
      <c r="F216" s="83">
        <v>0.28999999165534973</v>
      </c>
      <c r="G216" s="84">
        <v>0.15545837681054131</v>
      </c>
    </row>
    <row r="217" spans="1:7" x14ac:dyDescent="0.2">
      <c r="A217" t="s">
        <v>6</v>
      </c>
      <c r="B217" s="68">
        <v>426.23556518554688</v>
      </c>
      <c r="C217" s="83">
        <v>0.15657106125296796</v>
      </c>
      <c r="D217" s="84">
        <v>0.41751103729767169</v>
      </c>
      <c r="E217" s="68">
        <v>453</v>
      </c>
      <c r="F217" s="83">
        <v>1.9999999552965164E-2</v>
      </c>
      <c r="G217" s="84">
        <v>0.46459919222874069</v>
      </c>
    </row>
    <row r="218" spans="1:7" x14ac:dyDescent="0.2">
      <c r="A218" t="s">
        <v>7</v>
      </c>
      <c r="B218" s="68">
        <v>50.957981109619141</v>
      </c>
      <c r="C218" s="83">
        <v>0.28045301134723372</v>
      </c>
      <c r="D218" s="84">
        <v>0.71147145233253828</v>
      </c>
      <c r="E218" s="68">
        <v>34</v>
      </c>
      <c r="F218" s="83">
        <v>0.5</v>
      </c>
      <c r="G218" s="84">
        <v>0.55240928223619556</v>
      </c>
    </row>
    <row r="219" spans="1:7" x14ac:dyDescent="0.2">
      <c r="A219" t="s">
        <v>284</v>
      </c>
      <c r="B219" s="68">
        <v>387.00885009765625</v>
      </c>
      <c r="C219" s="83">
        <v>0.2589210219159484</v>
      </c>
      <c r="D219" s="84">
        <v>0.63645510909148983</v>
      </c>
      <c r="E219" s="68">
        <v>323.72711181640625</v>
      </c>
      <c r="F219" s="83">
        <v>0.34637638926506042</v>
      </c>
      <c r="G219" s="84">
        <v>0.58422119730106425</v>
      </c>
    </row>
    <row r="220" spans="1:7" x14ac:dyDescent="0.2">
      <c r="A220" t="s">
        <v>286</v>
      </c>
      <c r="B220" s="68">
        <v>2.2074694633483887</v>
      </c>
      <c r="C220" s="83">
        <v>0.39129892773362551</v>
      </c>
      <c r="D220" s="84">
        <v>2.1048323846148076E-2</v>
      </c>
      <c r="E220" s="68">
        <v>1.6644325256347656</v>
      </c>
      <c r="F220" s="83">
        <v>0.43738853931427002</v>
      </c>
      <c r="G220" s="84">
        <v>5.0941642765639505E-3</v>
      </c>
    </row>
    <row r="221" spans="1:7" x14ac:dyDescent="0.2">
      <c r="A221" t="s">
        <v>288</v>
      </c>
      <c r="B221" s="68">
        <v>7.888768196105957</v>
      </c>
      <c r="C221" s="83">
        <v>0.30424995881731659</v>
      </c>
      <c r="D221" s="84">
        <v>0.12978242488912595</v>
      </c>
      <c r="E221" s="68">
        <v>7.7724137306213379</v>
      </c>
      <c r="F221" s="83">
        <v>0.18371127545833588</v>
      </c>
      <c r="G221" s="84">
        <v>0.1252285159233445</v>
      </c>
    </row>
    <row r="222" spans="1:7" x14ac:dyDescent="0.2">
      <c r="A222" t="s">
        <v>289</v>
      </c>
      <c r="B222" s="68">
        <v>9.4271183013916016</v>
      </c>
      <c r="C222" s="83">
        <v>0.49627366578390525</v>
      </c>
      <c r="D222" s="84">
        <v>0.12415106246664009</v>
      </c>
      <c r="E222" s="68">
        <v>7.4234232902526855</v>
      </c>
      <c r="F222" s="83">
        <v>0.28498333692550659</v>
      </c>
      <c r="G222" s="84">
        <v>8.1526672866249372E-2</v>
      </c>
    </row>
    <row r="223" spans="1:7" x14ac:dyDescent="0.2">
      <c r="A223" t="s">
        <v>8</v>
      </c>
      <c r="B223" s="68">
        <v>1.9099999666213989</v>
      </c>
      <c r="C223" s="83">
        <v>0.30489998736179519</v>
      </c>
      <c r="D223" s="84">
        <v>0.90301241363643681</v>
      </c>
      <c r="E223" s="68">
        <v>1.9099999666213989</v>
      </c>
      <c r="F223" s="83">
        <v>0.30489999055862427</v>
      </c>
      <c r="G223" s="84">
        <v>0.90301241363643681</v>
      </c>
    </row>
    <row r="224" spans="1:7" x14ac:dyDescent="0.2">
      <c r="A224" t="s">
        <v>9</v>
      </c>
      <c r="B224" s="68">
        <v>14.229499816894531</v>
      </c>
      <c r="C224" s="83">
        <v>0.32766428182309831</v>
      </c>
      <c r="D224" s="84">
        <v>0.97400341449174088</v>
      </c>
      <c r="E224" s="68">
        <v>14.229499816894531</v>
      </c>
      <c r="F224" s="83">
        <v>0.32766428589820862</v>
      </c>
      <c r="G224" s="84">
        <v>0.97400341449174088</v>
      </c>
    </row>
    <row r="225" spans="1:7" x14ac:dyDescent="0.2">
      <c r="A225" t="s">
        <v>293</v>
      </c>
      <c r="B225" s="68">
        <v>15.253976821899414</v>
      </c>
      <c r="C225" s="83">
        <v>0.30710925062932759</v>
      </c>
      <c r="D225" s="84">
        <v>0.97710985631074032</v>
      </c>
      <c r="E225" s="68">
        <v>14.899999618530273</v>
      </c>
      <c r="F225" s="83">
        <v>0.30605921149253845</v>
      </c>
      <c r="G225" s="84">
        <v>0.97483046154281594</v>
      </c>
    </row>
    <row r="226" spans="1:7" x14ac:dyDescent="0.2">
      <c r="A226" t="s">
        <v>295</v>
      </c>
      <c r="B226" s="68">
        <v>2.6864540576934814</v>
      </c>
      <c r="C226" s="83">
        <v>0.56698363831579901</v>
      </c>
      <c r="D226" s="84">
        <v>2.975438708046696E-2</v>
      </c>
      <c r="E226" s="68">
        <v>1.7999999523162842</v>
      </c>
      <c r="F226" s="83">
        <v>0.63953095674514771</v>
      </c>
      <c r="G226" s="84">
        <v>7.1427860766325457E-3</v>
      </c>
    </row>
    <row r="227" spans="1:7" x14ac:dyDescent="0.2">
      <c r="A227" t="s">
        <v>297</v>
      </c>
      <c r="B227" s="68">
        <v>4.1448548436164856E-2</v>
      </c>
      <c r="C227" s="83">
        <v>0.43821536809299905</v>
      </c>
      <c r="D227" s="84">
        <v>7.2856067539520675E-3</v>
      </c>
      <c r="E227" s="68">
        <v>2.4827584624290466E-2</v>
      </c>
      <c r="F227" s="83">
        <v>0.59618854522705078</v>
      </c>
      <c r="G227" s="84">
        <v>5.7977430513123096E-4</v>
      </c>
    </row>
    <row r="228" spans="1:7" x14ac:dyDescent="0.2">
      <c r="A228" t="s">
        <v>10</v>
      </c>
      <c r="B228" s="68">
        <v>10.12885570526123</v>
      </c>
      <c r="C228" s="83">
        <v>1.0788560700827927</v>
      </c>
      <c r="D228" s="84">
        <v>0.24367128469210286</v>
      </c>
      <c r="E228" s="68">
        <v>2.5128943920135498</v>
      </c>
      <c r="F228" s="83">
        <v>2.2155380249023438</v>
      </c>
      <c r="G228" s="84">
        <v>0.10655125025791379</v>
      </c>
    </row>
    <row r="229" spans="1:7" x14ac:dyDescent="0.2">
      <c r="A229" t="s">
        <v>11</v>
      </c>
      <c r="B229" s="68">
        <v>0.83860892057418823</v>
      </c>
      <c r="C229" s="83">
        <v>1.6800913422274355</v>
      </c>
      <c r="D229" s="84">
        <v>0.24367128469210286</v>
      </c>
      <c r="E229" s="68">
        <v>0.10537977516651154</v>
      </c>
      <c r="F229" s="83">
        <v>3.2651224136352539</v>
      </c>
      <c r="G229" s="84">
        <v>0.10655125025791379</v>
      </c>
    </row>
    <row r="230" spans="1:7" x14ac:dyDescent="0.2">
      <c r="A230" t="s">
        <v>12</v>
      </c>
      <c r="B230" s="68">
        <v>0.11637284606695175</v>
      </c>
      <c r="C230" s="83">
        <v>2.0522558493148009</v>
      </c>
      <c r="D230" s="84">
        <v>0.24367128469210286</v>
      </c>
      <c r="E230" s="68">
        <v>9.6589075401425362E-3</v>
      </c>
      <c r="F230" s="83">
        <v>3.9252104759216309</v>
      </c>
      <c r="G230" s="84">
        <v>0.10655125025791379</v>
      </c>
    </row>
    <row r="231" spans="1:7" x14ac:dyDescent="0.2">
      <c r="A231" t="s">
        <v>13</v>
      </c>
      <c r="B231" s="68">
        <v>2.2546473890542984E-2</v>
      </c>
      <c r="C231" s="83">
        <v>2.3229074571360204</v>
      </c>
      <c r="D231" s="84">
        <v>0.24367128469210286</v>
      </c>
      <c r="E231" s="68">
        <v>1.3875304721295834E-3</v>
      </c>
      <c r="F231" s="83">
        <v>4.4120450019836426</v>
      </c>
      <c r="G231" s="84">
        <v>0.10655125025791379</v>
      </c>
    </row>
    <row r="232" spans="1:7" x14ac:dyDescent="0.2">
      <c r="A232" t="s">
        <v>14</v>
      </c>
      <c r="B232" s="68">
        <v>5.491720512509346E-3</v>
      </c>
      <c r="C232" s="83">
        <v>2.5360657160582774</v>
      </c>
      <c r="D232" s="84">
        <v>0.24367128469210286</v>
      </c>
      <c r="E232" s="68">
        <v>2.6740977773442864E-4</v>
      </c>
      <c r="F232" s="83">
        <v>4.799769401550293</v>
      </c>
      <c r="G232" s="84">
        <v>0.10655125025791379</v>
      </c>
    </row>
    <row r="233" spans="1:7" x14ac:dyDescent="0.2">
      <c r="A233" t="s">
        <v>15</v>
      </c>
      <c r="B233" s="68">
        <v>1.5810863114893436E-3</v>
      </c>
      <c r="C233" s="83">
        <v>2.7121397099672837</v>
      </c>
      <c r="D233" s="84">
        <v>0.24367128469210286</v>
      </c>
      <c r="E233" s="68">
        <v>6.3509229221381247E-5</v>
      </c>
      <c r="F233" s="83">
        <v>5.1229581832885742</v>
      </c>
      <c r="G233" s="84">
        <v>0.10655125025791379</v>
      </c>
    </row>
    <row r="234" spans="1:7" x14ac:dyDescent="0.2">
      <c r="A234" t="s">
        <v>305</v>
      </c>
      <c r="B234" s="68">
        <v>74.637138366699219</v>
      </c>
      <c r="C234" s="83">
        <v>4.6377021908242437E-2</v>
      </c>
      <c r="D234" s="84">
        <v>0.87123768440851568</v>
      </c>
      <c r="E234" s="68">
        <v>75.914497375488281</v>
      </c>
      <c r="F234" s="83">
        <v>3.3688422292470932E-2</v>
      </c>
      <c r="G234" s="84">
        <v>0.89077993824844048</v>
      </c>
    </row>
    <row r="235" spans="1:7" x14ac:dyDescent="0.2">
      <c r="A235" t="s">
        <v>16</v>
      </c>
      <c r="B235" s="68">
        <v>47.324562072753906</v>
      </c>
      <c r="C235" s="83">
        <v>7.9417902855896422E-2</v>
      </c>
      <c r="D235" s="84">
        <v>0.24367128469210286</v>
      </c>
      <c r="E235" s="68">
        <v>43.165962219238281</v>
      </c>
      <c r="F235" s="83">
        <v>0.12763407826423645</v>
      </c>
      <c r="G235" s="84">
        <v>0.10655125025791379</v>
      </c>
    </row>
    <row r="236" spans="1:7" x14ac:dyDescent="0.2">
      <c r="A236" t="s">
        <v>308</v>
      </c>
      <c r="B236" s="68">
        <v>70.326583862304688</v>
      </c>
      <c r="C236" s="83">
        <v>5.8343646697809962E-2</v>
      </c>
      <c r="D236" s="84">
        <v>0.85180211636308356</v>
      </c>
      <c r="E236" s="68">
        <v>69.988250732421875</v>
      </c>
      <c r="F236" s="83">
        <v>5.8830417692661285E-2</v>
      </c>
      <c r="G236" s="84">
        <v>0.84454162318945869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122D-748C-443A-953F-4F6FC48E412F}">
  <sheetPr codeName="Sheet16"/>
  <dimension ref="A1:J153"/>
  <sheetViews>
    <sheetView showGridLines="0" workbookViewId="0"/>
  </sheetViews>
  <sheetFormatPr defaultColWidth="9.7109375" defaultRowHeight="12.75" x14ac:dyDescent="0.2"/>
  <sheetData>
    <row r="1" spans="1:10" x14ac:dyDescent="0.2">
      <c r="A1" s="9" t="s">
        <v>50</v>
      </c>
      <c r="B1" s="9"/>
    </row>
    <row r="2" spans="1:10" x14ac:dyDescent="0.2">
      <c r="A2" s="9" t="s">
        <v>194</v>
      </c>
      <c r="B2" s="9" t="s">
        <v>37</v>
      </c>
    </row>
    <row r="4" spans="1:10" x14ac:dyDescent="0.2">
      <c r="A4" s="69" t="s">
        <v>142</v>
      </c>
      <c r="B4" s="9" t="s">
        <v>169</v>
      </c>
    </row>
    <row r="5" spans="1:10" x14ac:dyDescent="0.2">
      <c r="A5">
        <v>1</v>
      </c>
      <c r="B5" t="s">
        <v>170</v>
      </c>
    </row>
    <row r="6" spans="1:10" x14ac:dyDescent="0.2">
      <c r="A6">
        <v>2</v>
      </c>
      <c r="B6" t="s">
        <v>171</v>
      </c>
    </row>
    <row r="7" spans="1:10" x14ac:dyDescent="0.2">
      <c r="A7">
        <v>3</v>
      </c>
      <c r="B7" t="s">
        <v>172</v>
      </c>
    </row>
    <row r="8" spans="1:10" x14ac:dyDescent="0.2">
      <c r="A8">
        <v>4</v>
      </c>
      <c r="B8" t="s">
        <v>173</v>
      </c>
    </row>
    <row r="9" spans="1:10" x14ac:dyDescent="0.2">
      <c r="A9">
        <v>5</v>
      </c>
      <c r="B9" t="s">
        <v>174</v>
      </c>
    </row>
    <row r="10" spans="1:10" x14ac:dyDescent="0.2">
      <c r="A10">
        <v>6</v>
      </c>
      <c r="B10" t="s">
        <v>175</v>
      </c>
    </row>
    <row r="11" spans="1:10" x14ac:dyDescent="0.2">
      <c r="A11">
        <v>7</v>
      </c>
      <c r="B11" t="s">
        <v>176</v>
      </c>
    </row>
    <row r="12" spans="1:10" x14ac:dyDescent="0.2">
      <c r="A12" s="93" t="s">
        <v>183</v>
      </c>
      <c r="B12" t="s">
        <v>482</v>
      </c>
    </row>
    <row r="15" spans="1:10" x14ac:dyDescent="0.2">
      <c r="A15" s="9" t="s">
        <v>406</v>
      </c>
    </row>
    <row r="16" spans="1:10" x14ac:dyDescent="0.2">
      <c r="A16" s="74" t="s">
        <v>407</v>
      </c>
      <c r="C16" s="74">
        <v>1</v>
      </c>
      <c r="D16" s="74">
        <v>2</v>
      </c>
      <c r="E16" s="74">
        <v>3</v>
      </c>
      <c r="F16" s="74">
        <v>4</v>
      </c>
      <c r="G16" s="74">
        <v>5</v>
      </c>
      <c r="H16" s="74">
        <v>6</v>
      </c>
      <c r="I16" s="74">
        <v>7</v>
      </c>
      <c r="J16" s="75" t="s">
        <v>183</v>
      </c>
    </row>
    <row r="17" spans="1:10" x14ac:dyDescent="0.2">
      <c r="A17" t="s">
        <v>1</v>
      </c>
      <c r="C17" s="68">
        <v>308.93423461914063</v>
      </c>
      <c r="D17" s="68">
        <v>192.16374206542969</v>
      </c>
      <c r="E17" s="68">
        <v>153.12525939941406</v>
      </c>
      <c r="F17" s="68">
        <v>233.2371826171875</v>
      </c>
      <c r="G17" s="68">
        <v>153.41615295410156</v>
      </c>
      <c r="H17" s="68">
        <v>104.82675170898438</v>
      </c>
      <c r="I17" s="68">
        <v>132.70794677734375</v>
      </c>
      <c r="J17" s="68">
        <v>169.45672607421875</v>
      </c>
    </row>
    <row r="18" spans="1:10" x14ac:dyDescent="0.2">
      <c r="A18" t="s">
        <v>2</v>
      </c>
      <c r="C18" s="68">
        <v>1554.3240966796875</v>
      </c>
      <c r="D18" s="68">
        <v>1349.147216796875</v>
      </c>
      <c r="E18" s="68">
        <v>1260.9208984375</v>
      </c>
      <c r="F18" s="68">
        <v>1291.7747802734375</v>
      </c>
      <c r="G18" s="68">
        <v>1167.480224609375</v>
      </c>
      <c r="H18" s="68">
        <v>1077.22021484375</v>
      </c>
      <c r="I18" s="68">
        <v>1196.9022216796875</v>
      </c>
      <c r="J18" s="68">
        <v>1255.1904296875</v>
      </c>
    </row>
    <row r="19" spans="1:10" x14ac:dyDescent="0.2">
      <c r="A19" t="s">
        <v>3</v>
      </c>
      <c r="C19" s="68">
        <v>109.43815612792969</v>
      </c>
      <c r="D19" s="68">
        <v>88.657913208007813</v>
      </c>
      <c r="E19" s="68">
        <v>79.223312377929688</v>
      </c>
      <c r="F19" s="68">
        <v>88.099189758300781</v>
      </c>
      <c r="G19" s="68">
        <v>74.210227966308594</v>
      </c>
      <c r="H19" s="68">
        <v>62.197517395019531</v>
      </c>
      <c r="I19" s="68">
        <v>72.899978637695313</v>
      </c>
      <c r="J19" s="68">
        <v>80.0684814453125</v>
      </c>
    </row>
    <row r="20" spans="1:10" x14ac:dyDescent="0.2">
      <c r="A20" t="s">
        <v>4</v>
      </c>
      <c r="C20" s="68">
        <v>40.111030578613281</v>
      </c>
      <c r="D20" s="68">
        <v>6.8758988380432129</v>
      </c>
      <c r="E20" s="68">
        <v>5.9649505615234375</v>
      </c>
      <c r="F20" s="68">
        <v>13.600377082824707</v>
      </c>
      <c r="G20" s="68">
        <v>6.9323534965515137</v>
      </c>
      <c r="H20" s="68">
        <v>6.9231500625610352</v>
      </c>
      <c r="I20" s="68">
        <v>5.500551700592041</v>
      </c>
      <c r="J20" s="68">
        <v>9.6493005752563477</v>
      </c>
    </row>
    <row r="21" spans="1:10" x14ac:dyDescent="0.2">
      <c r="A21" t="s">
        <v>5</v>
      </c>
      <c r="C21" s="68">
        <v>0.22457900643348694</v>
      </c>
      <c r="D21" s="68">
        <v>0.36076372861862183</v>
      </c>
      <c r="E21" s="68">
        <v>0.38772857189178467</v>
      </c>
      <c r="F21" s="68">
        <v>0.21063676476478577</v>
      </c>
      <c r="G21" s="68">
        <v>0.40107345581054688</v>
      </c>
      <c r="H21" s="68">
        <v>0.61641687154769897</v>
      </c>
      <c r="I21" s="68">
        <v>0.48839721083641052</v>
      </c>
      <c r="J21" s="68">
        <v>0.40859556198120117</v>
      </c>
    </row>
    <row r="22" spans="1:10" x14ac:dyDescent="0.2">
      <c r="A22" t="s">
        <v>6</v>
      </c>
      <c r="C22" s="68">
        <v>1331.3165283203125</v>
      </c>
      <c r="D22" s="68">
        <v>509.55047607421875</v>
      </c>
      <c r="E22" s="68">
        <v>475.97988891601563</v>
      </c>
      <c r="F22" s="68">
        <v>798.97332763671875</v>
      </c>
      <c r="G22" s="68">
        <v>489.753662109375</v>
      </c>
      <c r="H22" s="68">
        <v>423.97259521484375</v>
      </c>
      <c r="I22" s="68">
        <v>426.23556518554688</v>
      </c>
      <c r="J22" s="68">
        <v>562.129150390625</v>
      </c>
    </row>
    <row r="23" spans="1:10" x14ac:dyDescent="0.2">
      <c r="A23" t="s">
        <v>7</v>
      </c>
      <c r="C23" s="68">
        <v>149.06263732910156</v>
      </c>
      <c r="D23" s="68">
        <v>69.75909423828125</v>
      </c>
      <c r="E23" s="68">
        <v>64.108612060546875</v>
      </c>
      <c r="F23" s="68">
        <v>124.56641387939453</v>
      </c>
      <c r="G23" s="68">
        <v>63.223587036132813</v>
      </c>
      <c r="H23" s="68">
        <v>42.569248199462891</v>
      </c>
      <c r="I23" s="68">
        <v>50.957981109619141</v>
      </c>
      <c r="J23" s="68">
        <v>71.342201232910156</v>
      </c>
    </row>
    <row r="24" spans="1:10" x14ac:dyDescent="0.2">
      <c r="A24" t="s">
        <v>284</v>
      </c>
      <c r="C24" s="68">
        <v>3207.093017578125</v>
      </c>
      <c r="D24" s="68">
        <v>604.16619873046875</v>
      </c>
      <c r="E24" s="68">
        <v>493.18472290039063</v>
      </c>
      <c r="F24" s="68">
        <v>1332.1702880859375</v>
      </c>
      <c r="G24" s="68">
        <v>512.98199462890625</v>
      </c>
      <c r="H24" s="68">
        <v>358.18856811523438</v>
      </c>
      <c r="I24" s="68">
        <v>387.00885009765625</v>
      </c>
      <c r="J24" s="68">
        <v>760.25146484375</v>
      </c>
    </row>
    <row r="25" spans="1:10" x14ac:dyDescent="0.2">
      <c r="A25" t="s">
        <v>286</v>
      </c>
      <c r="C25" s="68">
        <v>5.679084300994873</v>
      </c>
      <c r="D25" s="68">
        <v>2.0743637084960938</v>
      </c>
      <c r="E25" s="68">
        <v>1.998676061630249</v>
      </c>
      <c r="F25" s="68">
        <v>2.4843723773956299</v>
      </c>
      <c r="G25" s="68">
        <v>2.3092846870422363</v>
      </c>
      <c r="H25" s="68">
        <v>3.1248538494110107</v>
      </c>
      <c r="I25" s="68">
        <v>2.2074694633483887</v>
      </c>
      <c r="J25" s="68">
        <v>2.6050853729248047</v>
      </c>
    </row>
    <row r="26" spans="1:10" x14ac:dyDescent="0.2">
      <c r="A26" t="s">
        <v>288</v>
      </c>
      <c r="C26" s="68">
        <v>4.5457057952880859</v>
      </c>
      <c r="D26" s="68">
        <v>6.240236759185791</v>
      </c>
      <c r="E26" s="68">
        <v>7.254981517791748</v>
      </c>
      <c r="F26" s="68">
        <v>4.8953375816345215</v>
      </c>
      <c r="G26" s="68">
        <v>6.6321582794189453</v>
      </c>
      <c r="H26" s="68">
        <v>8.8452634811401367</v>
      </c>
      <c r="I26" s="68">
        <v>7.888768196105957</v>
      </c>
      <c r="J26" s="68">
        <v>6.9136042594909668</v>
      </c>
    </row>
    <row r="27" spans="1:10" x14ac:dyDescent="0.2">
      <c r="A27" t="s">
        <v>289</v>
      </c>
      <c r="C27" s="68">
        <v>1.3949167728424072</v>
      </c>
      <c r="D27" s="68">
        <v>6.8591899871826172</v>
      </c>
      <c r="E27" s="68">
        <v>8.8179130554199219</v>
      </c>
      <c r="F27" s="68">
        <v>4.5348114967346191</v>
      </c>
      <c r="G27" s="68">
        <v>7.5142173767089844</v>
      </c>
      <c r="H27" s="68">
        <v>10.492672920227051</v>
      </c>
      <c r="I27" s="68">
        <v>9.4271183013916016</v>
      </c>
      <c r="J27" s="68">
        <v>7.6839361190795898</v>
      </c>
    </row>
    <row r="28" spans="1:10" x14ac:dyDescent="0.2">
      <c r="A28" t="s">
        <v>8</v>
      </c>
      <c r="C28" s="68">
        <v>3.4500000476837158</v>
      </c>
      <c r="D28" s="68">
        <v>2.5999999046325684</v>
      </c>
      <c r="E28" s="68">
        <v>2.4300000667572021</v>
      </c>
      <c r="F28" s="68">
        <v>4.4074997901916504</v>
      </c>
      <c r="G28" s="68">
        <v>2.3199999332427979</v>
      </c>
      <c r="H28" s="68">
        <v>1.4492000341415405</v>
      </c>
      <c r="I28" s="68">
        <v>1.9099999666213989</v>
      </c>
      <c r="J28" s="68">
        <v>2.4585001468658447</v>
      </c>
    </row>
    <row r="29" spans="1:10" x14ac:dyDescent="0.2">
      <c r="A29" t="s">
        <v>9</v>
      </c>
      <c r="C29" s="68">
        <v>4.1400003433227539</v>
      </c>
      <c r="D29" s="68">
        <v>14.949999809265137</v>
      </c>
      <c r="E29" s="68">
        <v>15.479100227355957</v>
      </c>
      <c r="F29" s="68">
        <v>11.415424346923828</v>
      </c>
      <c r="G29" s="68">
        <v>13.339999198913574</v>
      </c>
      <c r="H29" s="68">
        <v>9.9849882125854492</v>
      </c>
      <c r="I29" s="68">
        <v>14.229499816894531</v>
      </c>
      <c r="J29" s="68">
        <v>12.772669792175293</v>
      </c>
    </row>
    <row r="30" spans="1:10" x14ac:dyDescent="0.2">
      <c r="A30" t="s">
        <v>293</v>
      </c>
      <c r="C30" s="68">
        <v>5.3433313369750977</v>
      </c>
      <c r="D30" s="68">
        <v>15.938409805297852</v>
      </c>
      <c r="E30" s="68">
        <v>16.429018020629883</v>
      </c>
      <c r="F30" s="68">
        <v>12.296049118041992</v>
      </c>
      <c r="G30" s="68">
        <v>14.336525917053223</v>
      </c>
      <c r="H30" s="68">
        <v>11.17750072479248</v>
      </c>
      <c r="I30" s="68">
        <v>15.253976821899414</v>
      </c>
      <c r="J30" s="68">
        <v>13.803399085998535</v>
      </c>
    </row>
    <row r="31" spans="1:10" x14ac:dyDescent="0.2">
      <c r="A31" t="s">
        <v>295</v>
      </c>
      <c r="C31" s="68">
        <v>9.0080957412719727</v>
      </c>
      <c r="D31" s="68">
        <v>2.4805748462677002</v>
      </c>
      <c r="E31" s="68">
        <v>2.312781810760498</v>
      </c>
      <c r="F31" s="68">
        <v>2.8647394180297852</v>
      </c>
      <c r="G31" s="68">
        <v>2.7803828716278076</v>
      </c>
      <c r="H31" s="68">
        <v>4.2675466537475586</v>
      </c>
      <c r="I31" s="68">
        <v>2.6864540576934814</v>
      </c>
      <c r="J31" s="68">
        <v>3.3675999641418457</v>
      </c>
    </row>
    <row r="32" spans="1:10" x14ac:dyDescent="0.2">
      <c r="A32" t="s">
        <v>297</v>
      </c>
      <c r="C32" s="68">
        <v>0.1298367977142334</v>
      </c>
      <c r="D32" s="68">
        <v>3.5781458020210266E-2</v>
      </c>
      <c r="E32" s="68">
        <v>3.8954712450504303E-2</v>
      </c>
      <c r="F32" s="68">
        <v>5.8311358094215393E-2</v>
      </c>
      <c r="G32" s="68">
        <v>4.5186594128608704E-2</v>
      </c>
      <c r="H32" s="68">
        <v>6.6043734550476074E-2</v>
      </c>
      <c r="I32" s="68">
        <v>4.1448548436164856E-2</v>
      </c>
      <c r="J32" s="68">
        <v>5.282265692949295E-2</v>
      </c>
    </row>
    <row r="33" spans="1:10" x14ac:dyDescent="0.2">
      <c r="A33" t="s">
        <v>10</v>
      </c>
      <c r="C33" s="68">
        <v>97.322036743164063</v>
      </c>
      <c r="D33" s="68">
        <v>18.029041290283203</v>
      </c>
      <c r="E33" s="68">
        <v>12.641327857971191</v>
      </c>
      <c r="F33" s="68">
        <v>57.384891510009766</v>
      </c>
      <c r="G33" s="68">
        <v>18.377592086791992</v>
      </c>
      <c r="H33" s="68">
        <v>18.320680618286133</v>
      </c>
      <c r="I33" s="68">
        <v>10.12885570526123</v>
      </c>
      <c r="J33" s="68">
        <v>25.401151657104492</v>
      </c>
    </row>
    <row r="34" spans="1:10" x14ac:dyDescent="0.2">
      <c r="A34" t="s">
        <v>11</v>
      </c>
      <c r="C34" s="68">
        <v>79.176589965820313</v>
      </c>
      <c r="D34" s="68">
        <v>2.1076722145080566</v>
      </c>
      <c r="E34" s="68">
        <v>1.1877990961074829</v>
      </c>
      <c r="F34" s="68">
        <v>17.563745498657227</v>
      </c>
      <c r="G34" s="68">
        <v>2.1752843856811523</v>
      </c>
      <c r="H34" s="68">
        <v>2.1641764640808105</v>
      </c>
      <c r="I34" s="68">
        <v>0.83860892057418823</v>
      </c>
      <c r="J34" s="68">
        <v>8.9337482452392578</v>
      </c>
    </row>
    <row r="35" spans="1:10" x14ac:dyDescent="0.2">
      <c r="A35" t="s">
        <v>12</v>
      </c>
      <c r="C35" s="68">
        <v>56.303787231445313</v>
      </c>
      <c r="D35" s="68">
        <v>0.36223763227462769</v>
      </c>
      <c r="E35" s="68">
        <v>0.17821839451789856</v>
      </c>
      <c r="F35" s="68">
        <v>5.6361236572265625</v>
      </c>
      <c r="G35" s="68">
        <v>0.37677282094955444</v>
      </c>
      <c r="H35" s="68">
        <v>0.37437629699707031</v>
      </c>
      <c r="I35" s="68">
        <v>0.11637284606695175</v>
      </c>
      <c r="J35" s="68">
        <v>5.0137491226196289</v>
      </c>
    </row>
    <row r="36" spans="1:10" x14ac:dyDescent="0.2">
      <c r="A36" t="s">
        <v>13</v>
      </c>
      <c r="C36" s="68">
        <v>37.992237091064453</v>
      </c>
      <c r="D36" s="68">
        <v>8.1962257623672485E-2</v>
      </c>
      <c r="E36" s="68">
        <v>3.6538213491439819E-2</v>
      </c>
      <c r="F36" s="68">
        <v>2.0189640522003174</v>
      </c>
      <c r="G36" s="68">
        <v>8.5734054446220398E-2</v>
      </c>
      <c r="H36" s="68">
        <v>8.5110597312450409E-2</v>
      </c>
      <c r="I36" s="68">
        <v>2.2546473890542984E-2</v>
      </c>
      <c r="J36" s="68">
        <v>3.1331253051757813</v>
      </c>
    </row>
    <row r="37" spans="1:10" x14ac:dyDescent="0.2">
      <c r="A37" t="s">
        <v>14</v>
      </c>
      <c r="C37" s="68">
        <v>25.285226821899414</v>
      </c>
      <c r="D37" s="68">
        <v>2.2550627589225769E-2</v>
      </c>
      <c r="E37" s="68">
        <v>9.303615428507328E-3</v>
      </c>
      <c r="F37" s="68">
        <v>0.79881542921066284</v>
      </c>
      <c r="G37" s="68">
        <v>2.3693384602665901E-2</v>
      </c>
      <c r="H37" s="68">
        <v>2.3504121229052544E-2</v>
      </c>
      <c r="I37" s="68">
        <v>5.491720512509346E-3</v>
      </c>
      <c r="J37" s="68">
        <v>2.0214920043945313</v>
      </c>
    </row>
    <row r="38" spans="1:10" x14ac:dyDescent="0.2">
      <c r="A38" t="s">
        <v>15</v>
      </c>
      <c r="C38" s="68">
        <v>16.861917495727539</v>
      </c>
      <c r="D38" s="68">
        <v>7.1776187978684902E-3</v>
      </c>
      <c r="E38" s="68">
        <v>2.7781999669969082E-3</v>
      </c>
      <c r="F38" s="68">
        <v>0.34335878491401672</v>
      </c>
      <c r="G38" s="68">
        <v>7.5690029188990593E-3</v>
      </c>
      <c r="H38" s="68">
        <v>7.5040780939161777E-3</v>
      </c>
      <c r="I38" s="68">
        <v>1.5810863114893436E-3</v>
      </c>
      <c r="J38" s="68">
        <v>1.3282183408737183</v>
      </c>
    </row>
    <row r="39" spans="1:10" x14ac:dyDescent="0.2">
      <c r="A39" t="s">
        <v>305</v>
      </c>
      <c r="C39" s="68">
        <v>86.821708679199219</v>
      </c>
      <c r="D39" s="68">
        <v>79.975372314453125</v>
      </c>
      <c r="E39" s="68">
        <v>76.700714111328125</v>
      </c>
      <c r="F39" s="68">
        <v>82.768646240234375</v>
      </c>
      <c r="G39" s="68">
        <v>76.728080749511719</v>
      </c>
      <c r="H39" s="68">
        <v>71.236297607421875</v>
      </c>
      <c r="I39" s="68">
        <v>74.637138366699219</v>
      </c>
      <c r="J39" s="68">
        <v>77.495277404785156</v>
      </c>
    </row>
    <row r="40" spans="1:10" x14ac:dyDescent="0.2">
      <c r="A40" t="s">
        <v>16</v>
      </c>
      <c r="C40" s="68">
        <v>66.815101623535156</v>
      </c>
      <c r="D40" s="68">
        <v>49.513900756835938</v>
      </c>
      <c r="E40" s="68">
        <v>48.119686126708984</v>
      </c>
      <c r="F40" s="68">
        <v>56.205055236816406</v>
      </c>
      <c r="G40" s="68">
        <v>49.5941162109375</v>
      </c>
      <c r="H40" s="68">
        <v>49.581085205078125</v>
      </c>
      <c r="I40" s="68">
        <v>47.324562072753906</v>
      </c>
      <c r="J40" s="68">
        <v>50.891490936279297</v>
      </c>
    </row>
    <row r="41" spans="1:10" x14ac:dyDescent="0.2">
      <c r="A41" t="s">
        <v>308</v>
      </c>
      <c r="C41" s="68">
        <v>81.521736145019531</v>
      </c>
      <c r="D41" s="68">
        <v>74.691459655761719</v>
      </c>
      <c r="E41" s="68">
        <v>73.652748107910156</v>
      </c>
      <c r="F41" s="68">
        <v>82.445304870605469</v>
      </c>
      <c r="G41" s="68">
        <v>73.165130615234375</v>
      </c>
      <c r="H41" s="68">
        <v>66.972015380859375</v>
      </c>
      <c r="I41" s="68">
        <v>70.326583862304688</v>
      </c>
      <c r="J41" s="68">
        <v>73.577232360839844</v>
      </c>
    </row>
    <row r="43" spans="1:10" x14ac:dyDescent="0.2">
      <c r="A43" s="9" t="s">
        <v>408</v>
      </c>
    </row>
    <row r="44" spans="1:10" x14ac:dyDescent="0.2">
      <c r="A44" s="74" t="s">
        <v>407</v>
      </c>
      <c r="C44" s="74">
        <v>1</v>
      </c>
      <c r="D44" s="74">
        <v>2</v>
      </c>
      <c r="E44" s="74">
        <v>3</v>
      </c>
      <c r="F44" s="74">
        <v>4</v>
      </c>
      <c r="G44" s="74">
        <v>5</v>
      </c>
      <c r="H44" s="74">
        <v>6</v>
      </c>
      <c r="I44" s="74">
        <v>7</v>
      </c>
      <c r="J44" s="75" t="s">
        <v>183</v>
      </c>
    </row>
    <row r="45" spans="1:10" x14ac:dyDescent="0.2">
      <c r="A45" t="s">
        <v>1</v>
      </c>
      <c r="C45" s="68">
        <v>367</v>
      </c>
      <c r="D45" s="68"/>
      <c r="E45" s="68">
        <v>149</v>
      </c>
      <c r="F45" s="68">
        <v>234</v>
      </c>
      <c r="G45" s="68">
        <v>130</v>
      </c>
      <c r="H45" s="68">
        <v>99</v>
      </c>
      <c r="I45" s="68">
        <v>145</v>
      </c>
      <c r="J45" s="68">
        <v>163.55000305175781</v>
      </c>
    </row>
    <row r="46" spans="1:10" x14ac:dyDescent="0.2">
      <c r="A46" t="s">
        <v>2</v>
      </c>
      <c r="C46" s="68">
        <v>1575</v>
      </c>
      <c r="D46" s="68"/>
      <c r="E46" s="68">
        <v>1303</v>
      </c>
      <c r="F46" s="68">
        <v>1077</v>
      </c>
      <c r="G46" s="68">
        <v>1099</v>
      </c>
      <c r="H46" s="68">
        <v>1079</v>
      </c>
      <c r="I46" s="68">
        <v>1277</v>
      </c>
      <c r="J46" s="68">
        <v>1218.4000244140625</v>
      </c>
    </row>
    <row r="47" spans="1:10" x14ac:dyDescent="0.2">
      <c r="A47" t="s">
        <v>3</v>
      </c>
      <c r="C47" s="68">
        <v>112.98271179199219</v>
      </c>
      <c r="D47" s="68"/>
      <c r="E47" s="68">
        <v>80.749786376953125</v>
      </c>
      <c r="F47" s="68">
        <v>73.356010437011719</v>
      </c>
      <c r="G47" s="68">
        <v>67.563743591308594</v>
      </c>
      <c r="H47" s="68">
        <v>60.984420776367188</v>
      </c>
      <c r="I47" s="68">
        <v>78.826530456542969</v>
      </c>
      <c r="J47" s="68">
        <v>76.12213134765625</v>
      </c>
    </row>
    <row r="48" spans="1:10" x14ac:dyDescent="0.2">
      <c r="A48" t="s">
        <v>4</v>
      </c>
      <c r="C48" s="68">
        <v>62</v>
      </c>
      <c r="D48" s="68"/>
      <c r="E48" s="68">
        <v>2.7999999523162842</v>
      </c>
      <c r="F48" s="68">
        <v>23.700000762939453</v>
      </c>
      <c r="G48" s="68">
        <v>7.1999998092651367</v>
      </c>
      <c r="H48" s="68">
        <v>8.6999998092651367</v>
      </c>
      <c r="I48" s="68">
        <v>3.5999999046325684</v>
      </c>
      <c r="J48" s="68">
        <v>13.024999618530273</v>
      </c>
    </row>
    <row r="49" spans="1:10" x14ac:dyDescent="0.2">
      <c r="A49" t="s">
        <v>5</v>
      </c>
      <c r="C49" s="68">
        <v>0.20000000298023224</v>
      </c>
      <c r="D49" s="68"/>
      <c r="E49" s="68">
        <v>0.40000000596046448</v>
      </c>
      <c r="F49" s="68">
        <v>0.20000000298023224</v>
      </c>
      <c r="G49" s="68">
        <v>0.40000000596046448</v>
      </c>
      <c r="H49" s="68">
        <v>0.60000002384185791</v>
      </c>
      <c r="I49" s="68">
        <v>0.5</v>
      </c>
      <c r="J49" s="68">
        <v>0.42000001668930054</v>
      </c>
    </row>
    <row r="50" spans="1:10" x14ac:dyDescent="0.2">
      <c r="A50" t="s">
        <v>6</v>
      </c>
      <c r="C50" s="68">
        <v>856</v>
      </c>
      <c r="D50" s="68"/>
      <c r="E50" s="68">
        <v>523</v>
      </c>
      <c r="F50" s="68">
        <v>700</v>
      </c>
      <c r="G50" s="68">
        <v>573</v>
      </c>
      <c r="H50" s="68">
        <v>508</v>
      </c>
      <c r="I50" s="68">
        <v>453</v>
      </c>
      <c r="J50" s="68">
        <v>570.75</v>
      </c>
    </row>
    <row r="51" spans="1:10" x14ac:dyDescent="0.2">
      <c r="A51" t="s">
        <v>7</v>
      </c>
      <c r="C51" s="68">
        <v>250</v>
      </c>
      <c r="D51" s="68"/>
      <c r="E51" s="68">
        <v>48</v>
      </c>
      <c r="F51" s="68">
        <v>148</v>
      </c>
      <c r="G51" s="68">
        <v>51</v>
      </c>
      <c r="H51" s="68">
        <v>37</v>
      </c>
      <c r="I51" s="68">
        <v>34</v>
      </c>
      <c r="J51" s="68">
        <v>74.5</v>
      </c>
    </row>
    <row r="52" spans="1:10" x14ac:dyDescent="0.2">
      <c r="A52" t="s">
        <v>284</v>
      </c>
      <c r="C52" s="68">
        <v>3749.39208984375</v>
      </c>
      <c r="D52" s="68"/>
      <c r="E52" s="68">
        <v>334.31405639648438</v>
      </c>
      <c r="F52" s="68">
        <v>1591.7012939453125</v>
      </c>
      <c r="G52" s="68">
        <v>525.3955078125</v>
      </c>
      <c r="H52" s="68">
        <v>434.34783935546875</v>
      </c>
      <c r="I52" s="68">
        <v>323.72711181640625</v>
      </c>
      <c r="J52" s="68">
        <v>854.17242431640625</v>
      </c>
    </row>
    <row r="53" spans="1:10" x14ac:dyDescent="0.2">
      <c r="A53" t="s">
        <v>286</v>
      </c>
      <c r="C53" s="68">
        <v>6.5561285018920898</v>
      </c>
      <c r="D53" s="68"/>
      <c r="E53" s="68">
        <v>1.2260769605636597</v>
      </c>
      <c r="F53" s="68">
        <v>3.5742874145507813</v>
      </c>
      <c r="G53" s="68">
        <v>2.4741406440734863</v>
      </c>
      <c r="H53" s="68">
        <v>3.713120698928833</v>
      </c>
      <c r="I53" s="68">
        <v>1.6644325256347656</v>
      </c>
      <c r="J53" s="68">
        <v>2.8467090129852295</v>
      </c>
    </row>
    <row r="54" spans="1:10" x14ac:dyDescent="0.2">
      <c r="A54" t="s">
        <v>288</v>
      </c>
      <c r="C54" s="68">
        <v>3.88283371925354</v>
      </c>
      <c r="D54" s="68"/>
      <c r="E54" s="68">
        <v>7.7382550239562988</v>
      </c>
      <c r="F54" s="68">
        <v>3.961538553237915</v>
      </c>
      <c r="G54" s="68">
        <v>7.3000001907348633</v>
      </c>
      <c r="H54" s="68">
        <v>9.3838386535644531</v>
      </c>
      <c r="I54" s="68">
        <v>7.7724137306213379</v>
      </c>
      <c r="J54" s="68">
        <v>7.3241147994995117</v>
      </c>
    </row>
    <row r="55" spans="1:10" x14ac:dyDescent="0.2">
      <c r="A55" t="s">
        <v>289</v>
      </c>
      <c r="C55" s="68">
        <v>6.145298957824707</v>
      </c>
      <c r="D55" s="68"/>
      <c r="E55" s="68">
        <v>7.7227721214294434</v>
      </c>
      <c r="F55" s="68">
        <v>4.383720874786377</v>
      </c>
      <c r="G55" s="68">
        <v>6.6582279205322266</v>
      </c>
      <c r="H55" s="68">
        <v>9.2096776962280273</v>
      </c>
      <c r="I55" s="68">
        <v>7.4234232902526855</v>
      </c>
      <c r="J55" s="68">
        <v>7.4132299423217773</v>
      </c>
    </row>
    <row r="56" spans="1:10" x14ac:dyDescent="0.2">
      <c r="A56" t="s">
        <v>8</v>
      </c>
      <c r="C56" s="68">
        <v>3.4500000476837158</v>
      </c>
      <c r="D56" s="68">
        <v>2.5999999046325684</v>
      </c>
      <c r="E56" s="68">
        <v>2.4300000667572021</v>
      </c>
      <c r="F56" s="68">
        <v>4.4074997901916504</v>
      </c>
      <c r="G56" s="68">
        <v>2.3199999332427979</v>
      </c>
      <c r="H56" s="68">
        <v>1.4492000341415405</v>
      </c>
      <c r="I56" s="68">
        <v>1.9099999666213989</v>
      </c>
      <c r="J56" s="68">
        <v>2.4585001468658447</v>
      </c>
    </row>
    <row r="57" spans="1:10" x14ac:dyDescent="0.2">
      <c r="A57" t="s">
        <v>9</v>
      </c>
      <c r="C57" s="68">
        <v>4.1400003433227539</v>
      </c>
      <c r="D57" s="68">
        <v>14.949999809265137</v>
      </c>
      <c r="E57" s="68">
        <v>15.479100227355957</v>
      </c>
      <c r="F57" s="68">
        <v>11.415424346923828</v>
      </c>
      <c r="G57" s="68">
        <v>13.339999198913574</v>
      </c>
      <c r="H57" s="68">
        <v>9.9849882125854492</v>
      </c>
      <c r="I57" s="68">
        <v>14.229499816894531</v>
      </c>
      <c r="J57" s="68">
        <v>12.772669792175293</v>
      </c>
    </row>
    <row r="58" spans="1:10" x14ac:dyDescent="0.2">
      <c r="A58" t="s">
        <v>293</v>
      </c>
      <c r="C58" s="68">
        <v>6</v>
      </c>
      <c r="D58" s="68"/>
      <c r="E58" s="68">
        <v>15.924999237060547</v>
      </c>
      <c r="F58" s="68">
        <v>12.949999809265137</v>
      </c>
      <c r="G58" s="68">
        <v>14.375</v>
      </c>
      <c r="H58" s="68">
        <v>11.483332633972168</v>
      </c>
      <c r="I58" s="68">
        <v>14.899999618530273</v>
      </c>
      <c r="J58" s="68">
        <v>13.189582824707031</v>
      </c>
    </row>
    <row r="59" spans="1:10" x14ac:dyDescent="0.2">
      <c r="A59" t="s">
        <v>295</v>
      </c>
      <c r="C59" s="68">
        <v>12.40000057220459</v>
      </c>
      <c r="D59" s="68"/>
      <c r="E59" s="68">
        <v>1.1200000047683716</v>
      </c>
      <c r="F59" s="68">
        <v>4.7400002479553223</v>
      </c>
      <c r="G59" s="68">
        <v>2.8799998760223389</v>
      </c>
      <c r="H59" s="68">
        <v>5.2200002670288086</v>
      </c>
      <c r="I59" s="68">
        <v>1.7999999523162842</v>
      </c>
      <c r="J59" s="68">
        <v>3.9670000076293945</v>
      </c>
    </row>
    <row r="60" spans="1:10" x14ac:dyDescent="0.2">
      <c r="A60" t="s">
        <v>297</v>
      </c>
      <c r="C60" s="68">
        <v>0.1689373254776001</v>
      </c>
      <c r="D60" s="68"/>
      <c r="E60" s="68">
        <v>1.8791945651173592E-2</v>
      </c>
      <c r="F60" s="68">
        <v>0.10128205269575119</v>
      </c>
      <c r="G60" s="68">
        <v>5.5384613573551178E-2</v>
      </c>
      <c r="H60" s="68">
        <v>8.7878786027431488E-2</v>
      </c>
      <c r="I60" s="68">
        <v>2.4827584624290466E-2</v>
      </c>
      <c r="J60" s="68">
        <v>6.5419666469097137E-2</v>
      </c>
    </row>
    <row r="61" spans="1:10" x14ac:dyDescent="0.2">
      <c r="A61" t="s">
        <v>10</v>
      </c>
      <c r="C61" s="68">
        <v>99.575790405273438</v>
      </c>
      <c r="D61" s="68"/>
      <c r="E61" s="68">
        <v>0.90689462423324585</v>
      </c>
      <c r="F61" s="68">
        <v>86.035202026367188</v>
      </c>
      <c r="G61" s="68">
        <v>20.046487808227539</v>
      </c>
      <c r="H61" s="68">
        <v>29.642070770263672</v>
      </c>
      <c r="I61" s="68">
        <v>2.5128943920135498</v>
      </c>
      <c r="J61" s="68">
        <v>29.501947402954102</v>
      </c>
    </row>
    <row r="62" spans="1:10" x14ac:dyDescent="0.2">
      <c r="A62" t="s">
        <v>11</v>
      </c>
      <c r="C62" s="68">
        <v>93.510955810546875</v>
      </c>
      <c r="D62" s="68"/>
      <c r="E62" s="68">
        <v>2.5120608508586884E-2</v>
      </c>
      <c r="F62" s="68">
        <v>48.546840667724609</v>
      </c>
      <c r="G62" s="68">
        <v>2.5128943920135498</v>
      </c>
      <c r="H62" s="68">
        <v>4.9197859764099121</v>
      </c>
      <c r="I62" s="68">
        <v>0.10537977516651154</v>
      </c>
      <c r="J62" s="68">
        <v>15.830733299255371</v>
      </c>
    </row>
    <row r="63" spans="1:10" x14ac:dyDescent="0.2">
      <c r="A63" t="s">
        <v>12</v>
      </c>
      <c r="C63" s="68">
        <v>80.537689208984375</v>
      </c>
      <c r="D63" s="68"/>
      <c r="E63" s="68">
        <v>1.7934291390702128E-3</v>
      </c>
      <c r="F63" s="68">
        <v>24.500244140625</v>
      </c>
      <c r="G63" s="68">
        <v>0.45116251707077026</v>
      </c>
      <c r="H63" s="68">
        <v>1.0548509359359741</v>
      </c>
      <c r="I63" s="68">
        <v>9.6589075401425362E-3</v>
      </c>
      <c r="J63" s="68">
        <v>10.83668327331543</v>
      </c>
    </row>
    <row r="64" spans="1:10" x14ac:dyDescent="0.2">
      <c r="A64" t="s">
        <v>13</v>
      </c>
      <c r="C64" s="68">
        <v>65.431350708007813</v>
      </c>
      <c r="D64" s="68"/>
      <c r="E64" s="68">
        <v>2.1531237871386111E-4</v>
      </c>
      <c r="F64" s="68">
        <v>12.417829513549805</v>
      </c>
      <c r="G64" s="68">
        <v>0.10537977516651154</v>
      </c>
      <c r="H64" s="68">
        <v>0.280478835105896</v>
      </c>
      <c r="I64" s="68">
        <v>1.3875304721295834E-3</v>
      </c>
      <c r="J64" s="68">
        <v>7.8710470199584961</v>
      </c>
    </row>
    <row r="65" spans="1:10" x14ac:dyDescent="0.2">
      <c r="A65" t="s">
        <v>14</v>
      </c>
      <c r="C65" s="68">
        <v>51.482368469238281</v>
      </c>
      <c r="D65" s="68"/>
      <c r="E65" s="68">
        <v>3.6069544876227155E-5</v>
      </c>
      <c r="F65" s="68">
        <v>6.4983224868774414</v>
      </c>
      <c r="G65" s="68">
        <v>2.972746267914772E-2</v>
      </c>
      <c r="H65" s="68">
        <v>8.7627127766609192E-2</v>
      </c>
      <c r="I65" s="68">
        <v>2.6740977773442864E-4</v>
      </c>
      <c r="J65" s="68">
        <v>5.8244729042053223</v>
      </c>
    </row>
    <row r="66" spans="1:10" x14ac:dyDescent="0.2">
      <c r="A66" t="s">
        <v>15</v>
      </c>
      <c r="C66" s="68">
        <v>39.84796142578125</v>
      </c>
      <c r="D66" s="68"/>
      <c r="E66" s="68">
        <v>7.6356545832823031E-6</v>
      </c>
      <c r="F66" s="68">
        <v>3.5287878513336182</v>
      </c>
      <c r="G66" s="68">
        <v>9.6589075401425362E-3</v>
      </c>
      <c r="H66" s="68">
        <v>3.0973732471466064E-2</v>
      </c>
      <c r="I66" s="68">
        <v>6.3509229221381247E-5</v>
      </c>
      <c r="J66" s="68">
        <v>4.3468756675720215</v>
      </c>
    </row>
    <row r="67" spans="1:10" x14ac:dyDescent="0.2">
      <c r="A67" t="s">
        <v>305</v>
      </c>
      <c r="C67" s="68">
        <v>89.305320739746094</v>
      </c>
      <c r="D67" s="68"/>
      <c r="E67" s="68">
        <v>76.306907653808594</v>
      </c>
      <c r="F67" s="68">
        <v>82.815727233886719</v>
      </c>
      <c r="G67" s="68">
        <v>74.33984375</v>
      </c>
      <c r="H67" s="68">
        <v>70.411628723144531</v>
      </c>
      <c r="I67" s="68">
        <v>75.914497375488281</v>
      </c>
      <c r="J67" s="68">
        <v>76.449508666992188</v>
      </c>
    </row>
    <row r="68" spans="1:10" x14ac:dyDescent="0.2">
      <c r="A68" t="s">
        <v>16</v>
      </c>
      <c r="C68" s="68">
        <v>71.087188720703125</v>
      </c>
      <c r="D68" s="68"/>
      <c r="E68" s="68">
        <v>40.700565338134766</v>
      </c>
      <c r="F68" s="68">
        <v>61.653308868408203</v>
      </c>
      <c r="G68" s="68">
        <v>49.965736389160156</v>
      </c>
      <c r="H68" s="68">
        <v>51.822196960449219</v>
      </c>
      <c r="I68" s="68">
        <v>43.165962219238281</v>
      </c>
      <c r="J68" s="68">
        <v>50.251228332519531</v>
      </c>
    </row>
    <row r="69" spans="1:10" x14ac:dyDescent="0.2">
      <c r="A69" t="s">
        <v>308</v>
      </c>
      <c r="C69" s="68">
        <v>83.192001342773438</v>
      </c>
      <c r="D69" s="68"/>
      <c r="E69" s="68">
        <v>73.203750610351563</v>
      </c>
      <c r="F69" s="68">
        <v>83.192001342773438</v>
      </c>
      <c r="G69" s="68">
        <v>73.203750610351563</v>
      </c>
      <c r="H69" s="68">
        <v>67.361000061035156</v>
      </c>
      <c r="I69" s="68">
        <v>69.988250732421875</v>
      </c>
      <c r="J69" s="68">
        <v>73.419166564941406</v>
      </c>
    </row>
    <row r="71" spans="1:10" x14ac:dyDescent="0.2">
      <c r="A71" s="9" t="s">
        <v>409</v>
      </c>
    </row>
    <row r="72" spans="1:10" x14ac:dyDescent="0.2">
      <c r="A72" s="74" t="s">
        <v>407</v>
      </c>
      <c r="C72" s="74">
        <v>1</v>
      </c>
      <c r="D72" s="74">
        <v>2</v>
      </c>
      <c r="E72" s="74">
        <v>3</v>
      </c>
      <c r="F72" s="74">
        <v>4</v>
      </c>
      <c r="G72" s="74">
        <v>5</v>
      </c>
      <c r="H72" s="74">
        <v>6</v>
      </c>
      <c r="I72" s="74">
        <v>7</v>
      </c>
      <c r="J72" s="75" t="s">
        <v>183</v>
      </c>
    </row>
    <row r="73" spans="1:10" x14ac:dyDescent="0.2">
      <c r="A73" t="s">
        <v>1</v>
      </c>
      <c r="C73" s="68">
        <v>1.1879551410675049</v>
      </c>
      <c r="D73" s="68"/>
      <c r="E73" s="68">
        <v>0.97305959463119507</v>
      </c>
      <c r="F73" s="68">
        <v>1.0032705068588257</v>
      </c>
      <c r="G73" s="68">
        <v>0.84736841917037964</v>
      </c>
      <c r="H73" s="68">
        <v>0.9444153904914856</v>
      </c>
      <c r="I73" s="68">
        <v>1.0926249027252197</v>
      </c>
      <c r="J73" s="68">
        <v>0.96514320373535156</v>
      </c>
    </row>
    <row r="74" spans="1:10" x14ac:dyDescent="0.2">
      <c r="A74" t="s">
        <v>2</v>
      </c>
      <c r="C74" s="68">
        <v>1.013302206993103</v>
      </c>
      <c r="D74" s="68"/>
      <c r="E74" s="68">
        <v>1.0333716869354248</v>
      </c>
      <c r="F74" s="68">
        <v>0.83373665809631348</v>
      </c>
      <c r="G74" s="68">
        <v>0.94134354591369629</v>
      </c>
      <c r="H74" s="68">
        <v>1.0016522407531738</v>
      </c>
      <c r="I74" s="68">
        <v>1.0669208765029907</v>
      </c>
      <c r="J74" s="68">
        <v>0.97068935632705688</v>
      </c>
    </row>
    <row r="75" spans="1:10" x14ac:dyDescent="0.2">
      <c r="A75" t="s">
        <v>3</v>
      </c>
      <c r="C75" s="68">
        <v>1.0323886871337891</v>
      </c>
      <c r="D75" s="68"/>
      <c r="E75" s="68">
        <v>1.0192680358886719</v>
      </c>
      <c r="F75" s="68">
        <v>0.8326525092124939</v>
      </c>
      <c r="G75" s="68">
        <v>0.91043710708618164</v>
      </c>
      <c r="H75" s="68">
        <v>0.98049604892730713</v>
      </c>
      <c r="I75" s="68">
        <v>1.0812970399856567</v>
      </c>
      <c r="J75" s="68">
        <v>0.95071280002593994</v>
      </c>
    </row>
    <row r="76" spans="1:10" x14ac:dyDescent="0.2">
      <c r="A76" t="s">
        <v>4</v>
      </c>
      <c r="C76" s="68">
        <v>1.545709490776062</v>
      </c>
      <c r="D76" s="68"/>
      <c r="E76" s="68">
        <v>0.46940875053405762</v>
      </c>
      <c r="F76" s="68">
        <v>1.7425987720489502</v>
      </c>
      <c r="G76" s="68">
        <v>1.0386083126068115</v>
      </c>
      <c r="H76" s="68">
        <v>1.2566533088684082</v>
      </c>
      <c r="I76" s="68">
        <v>0.65447980165481567</v>
      </c>
      <c r="J76" s="68">
        <v>1.3498387336730957</v>
      </c>
    </row>
    <row r="77" spans="1:10" x14ac:dyDescent="0.2">
      <c r="A77" t="s">
        <v>5</v>
      </c>
      <c r="C77" s="68">
        <v>0.89055520296096802</v>
      </c>
      <c r="D77" s="68"/>
      <c r="E77" s="68">
        <v>1.0316495895385742</v>
      </c>
      <c r="F77" s="68">
        <v>0.94950187206268311</v>
      </c>
      <c r="G77" s="68">
        <v>0.99732357263565063</v>
      </c>
      <c r="H77" s="68">
        <v>0.97336727380752563</v>
      </c>
      <c r="I77" s="68">
        <v>1.0237568616867065</v>
      </c>
      <c r="J77" s="68">
        <v>1.0279113054275513</v>
      </c>
    </row>
    <row r="78" spans="1:10" x14ac:dyDescent="0.2">
      <c r="A78" t="s">
        <v>6</v>
      </c>
      <c r="C78" s="68">
        <v>0.64297258853912354</v>
      </c>
      <c r="D78" s="68"/>
      <c r="E78" s="68">
        <v>1.0987858772277832</v>
      </c>
      <c r="F78" s="68">
        <v>0.87612438201904297</v>
      </c>
      <c r="G78" s="68">
        <v>1.1699759960174561</v>
      </c>
      <c r="H78" s="68">
        <v>1.1981906890869141</v>
      </c>
      <c r="I78" s="68">
        <v>1.0627925395965576</v>
      </c>
      <c r="J78" s="68">
        <v>1.0153360366821289</v>
      </c>
    </row>
    <row r="79" spans="1:10" x14ac:dyDescent="0.2">
      <c r="A79" t="s">
        <v>7</v>
      </c>
      <c r="C79" s="68">
        <v>1.6771472692489624</v>
      </c>
      <c r="D79" s="68"/>
      <c r="E79" s="68">
        <v>0.74872934818267822</v>
      </c>
      <c r="F79" s="68">
        <v>1.1881211996078491</v>
      </c>
      <c r="G79" s="68">
        <v>0.80666095018386841</v>
      </c>
      <c r="H79" s="68">
        <v>0.86917203664779663</v>
      </c>
      <c r="I79" s="68">
        <v>0.66721636056900024</v>
      </c>
      <c r="J79" s="68">
        <v>1.0442626476287842</v>
      </c>
    </row>
    <row r="80" spans="1:10" x14ac:dyDescent="0.2">
      <c r="A80" t="s">
        <v>284</v>
      </c>
      <c r="C80" s="68">
        <v>1.1690936088562012</v>
      </c>
      <c r="D80" s="68"/>
      <c r="E80" s="68">
        <v>0.6778678297996521</v>
      </c>
      <c r="F80" s="68">
        <v>1.1948181390762329</v>
      </c>
      <c r="G80" s="68">
        <v>1.0241987705230713</v>
      </c>
      <c r="H80" s="68">
        <v>1.2126233577728271</v>
      </c>
      <c r="I80" s="68">
        <v>0.83648502826690674</v>
      </c>
      <c r="J80" s="68">
        <v>1.1235393285751343</v>
      </c>
    </row>
    <row r="81" spans="1:10" x14ac:dyDescent="0.2">
      <c r="A81" t="s">
        <v>286</v>
      </c>
      <c r="C81" s="68">
        <v>1.1544340848922729</v>
      </c>
      <c r="D81" s="68"/>
      <c r="E81" s="68">
        <v>0.61344456672668457</v>
      </c>
      <c r="F81" s="68">
        <v>1.4387084245681763</v>
      </c>
      <c r="G81" s="68">
        <v>1.0713883638381958</v>
      </c>
      <c r="H81" s="68">
        <v>1.1882542371749878</v>
      </c>
      <c r="I81" s="68">
        <v>0.75400024652481079</v>
      </c>
      <c r="J81" s="68">
        <v>1.0927507877349854</v>
      </c>
    </row>
    <row r="82" spans="1:10" x14ac:dyDescent="0.2">
      <c r="A82" t="s">
        <v>288</v>
      </c>
      <c r="C82" s="68">
        <v>0.85417622327804565</v>
      </c>
      <c r="D82" s="68"/>
      <c r="E82" s="68">
        <v>1.0666126012802124</v>
      </c>
      <c r="F82" s="68">
        <v>0.80924725532531738</v>
      </c>
      <c r="G82" s="68">
        <v>1.1006975173950195</v>
      </c>
      <c r="H82" s="68">
        <v>1.0608885288238525</v>
      </c>
      <c r="I82" s="68">
        <v>0.98525059223175049</v>
      </c>
      <c r="J82" s="68">
        <v>1.0593771934509277</v>
      </c>
    </row>
    <row r="83" spans="1:10" x14ac:dyDescent="0.2">
      <c r="A83" t="s">
        <v>289</v>
      </c>
      <c r="C83" s="68">
        <v>4.4054951667785645</v>
      </c>
      <c r="D83" s="68"/>
      <c r="E83" s="68">
        <v>0.87580496072769165</v>
      </c>
      <c r="F83" s="68">
        <v>0.9666820764541626</v>
      </c>
      <c r="G83" s="68">
        <v>0.88608402013778687</v>
      </c>
      <c r="H83" s="68">
        <v>0.87772464752197266</v>
      </c>
      <c r="I83" s="68">
        <v>0.78745412826538086</v>
      </c>
      <c r="J83" s="68">
        <v>0.96476984024047852</v>
      </c>
    </row>
    <row r="84" spans="1:10" x14ac:dyDescent="0.2">
      <c r="A84" t="s">
        <v>8</v>
      </c>
      <c r="C84" s="68">
        <v>1</v>
      </c>
      <c r="D84" s="68">
        <v>1</v>
      </c>
      <c r="E84" s="68">
        <v>1</v>
      </c>
      <c r="F84" s="68">
        <v>1</v>
      </c>
      <c r="G84" s="68">
        <v>1</v>
      </c>
      <c r="H84" s="68">
        <v>1</v>
      </c>
      <c r="I84" s="68">
        <v>1</v>
      </c>
      <c r="J84" s="68">
        <v>1</v>
      </c>
    </row>
    <row r="85" spans="1:10" x14ac:dyDescent="0.2">
      <c r="A85" t="s">
        <v>9</v>
      </c>
      <c r="C85" s="68">
        <v>1</v>
      </c>
      <c r="D85" s="68">
        <v>1</v>
      </c>
      <c r="E85" s="68">
        <v>1</v>
      </c>
      <c r="F85" s="68">
        <v>1</v>
      </c>
      <c r="G85" s="68">
        <v>1</v>
      </c>
      <c r="H85" s="68">
        <v>1</v>
      </c>
      <c r="I85" s="68">
        <v>1</v>
      </c>
      <c r="J85" s="68">
        <v>1</v>
      </c>
    </row>
    <row r="86" spans="1:10" x14ac:dyDescent="0.2">
      <c r="A86" t="s">
        <v>293</v>
      </c>
      <c r="C86" s="68">
        <v>1.1228950023651123</v>
      </c>
      <c r="D86" s="68"/>
      <c r="E86" s="68">
        <v>0.96932142972946167</v>
      </c>
      <c r="F86" s="68">
        <v>1.0531837940216064</v>
      </c>
      <c r="G86" s="68">
        <v>1.0026836395263672</v>
      </c>
      <c r="H86" s="68">
        <v>1.0273613929748535</v>
      </c>
      <c r="I86" s="68">
        <v>0.97679442167282104</v>
      </c>
      <c r="J86" s="68">
        <v>0.9555315375328064</v>
      </c>
    </row>
    <row r="87" spans="1:10" x14ac:dyDescent="0.2">
      <c r="A87" t="s">
        <v>295</v>
      </c>
      <c r="C87" s="68">
        <v>1.3765395879745483</v>
      </c>
      <c r="D87" s="68"/>
      <c r="E87" s="68">
        <v>0.48426529765129089</v>
      </c>
      <c r="F87" s="68">
        <v>1.6546008586883545</v>
      </c>
      <c r="G87" s="68">
        <v>1.0358284711837769</v>
      </c>
      <c r="H87" s="68">
        <v>1.2231853008270264</v>
      </c>
      <c r="I87" s="68">
        <v>0.6700282096862793</v>
      </c>
      <c r="J87" s="68">
        <v>1.1779903173446655</v>
      </c>
    </row>
    <row r="88" spans="1:10" x14ac:dyDescent="0.2">
      <c r="A88" t="s">
        <v>297</v>
      </c>
      <c r="C88" s="68">
        <v>1.3011513948440552</v>
      </c>
      <c r="D88" s="68"/>
      <c r="E88" s="68">
        <v>0.48240494728088379</v>
      </c>
      <c r="F88" s="68">
        <v>1.7369180917739868</v>
      </c>
      <c r="G88" s="68">
        <v>1.22568678855896</v>
      </c>
      <c r="H88" s="68">
        <v>1.3306150436401367</v>
      </c>
      <c r="I88" s="68">
        <v>0.59899771213531494</v>
      </c>
      <c r="J88" s="68">
        <v>1.238477349281311</v>
      </c>
    </row>
    <row r="89" spans="1:10" x14ac:dyDescent="0.2">
      <c r="A89" t="s">
        <v>10</v>
      </c>
      <c r="C89" s="68">
        <v>1.0231577157974243</v>
      </c>
      <c r="D89" s="68"/>
      <c r="E89" s="68">
        <v>7.174045592546463E-2</v>
      </c>
      <c r="F89" s="68">
        <v>1.4992657899856567</v>
      </c>
      <c r="G89" s="68">
        <v>1.0908114910125732</v>
      </c>
      <c r="H89" s="68">
        <v>1.6179568767547607</v>
      </c>
      <c r="I89" s="68">
        <v>0.24809262156486511</v>
      </c>
      <c r="J89" s="68">
        <v>1.1614413261413574</v>
      </c>
    </row>
    <row r="90" spans="1:10" x14ac:dyDescent="0.2">
      <c r="A90" t="s">
        <v>11</v>
      </c>
      <c r="C90" s="68">
        <v>1.1810430288314819</v>
      </c>
      <c r="D90" s="68"/>
      <c r="E90" s="68">
        <v>2.1148869767785072E-2</v>
      </c>
      <c r="F90" s="68">
        <v>2.7640368938446045</v>
      </c>
      <c r="G90" s="68">
        <v>1.1552027463912964</v>
      </c>
      <c r="H90" s="68">
        <v>2.2732832431793213</v>
      </c>
      <c r="I90" s="68">
        <v>0.12566021084785461</v>
      </c>
      <c r="J90" s="68">
        <v>1.7720147371292114</v>
      </c>
    </row>
    <row r="91" spans="1:10" x14ac:dyDescent="0.2">
      <c r="A91" t="s">
        <v>12</v>
      </c>
      <c r="C91" s="68">
        <v>1.4304133653640747</v>
      </c>
      <c r="D91" s="68"/>
      <c r="E91" s="68">
        <v>1.0063097812235355E-2</v>
      </c>
      <c r="F91" s="68">
        <v>4.3470025062561035</v>
      </c>
      <c r="G91" s="68">
        <v>1.1974390745162964</v>
      </c>
      <c r="H91" s="68">
        <v>2.817622184753418</v>
      </c>
      <c r="I91" s="68">
        <v>8.2999669015407562E-2</v>
      </c>
      <c r="J91" s="68">
        <v>2.1613931655883789</v>
      </c>
    </row>
    <row r="92" spans="1:10" x14ac:dyDescent="0.2">
      <c r="A92" t="s">
        <v>13</v>
      </c>
      <c r="C92" s="68">
        <v>1.7222294807434082</v>
      </c>
      <c r="D92" s="68"/>
      <c r="E92" s="68">
        <v>5.8927997015416622E-3</v>
      </c>
      <c r="F92" s="68">
        <v>6.1505947113037109</v>
      </c>
      <c r="G92" s="68">
        <v>1.22914719581604</v>
      </c>
      <c r="H92" s="68">
        <v>3.2954630851745605</v>
      </c>
      <c r="I92" s="68">
        <v>6.1540909111499786E-2</v>
      </c>
      <c r="J92" s="68">
        <v>2.5122029781341553</v>
      </c>
    </row>
    <row r="93" spans="1:10" x14ac:dyDescent="0.2">
      <c r="A93" t="s">
        <v>14</v>
      </c>
      <c r="C93" s="68">
        <v>2.0360651016235352</v>
      </c>
      <c r="D93" s="68"/>
      <c r="E93" s="68">
        <v>3.876938484609127E-3</v>
      </c>
      <c r="F93" s="68">
        <v>8.13494873046875</v>
      </c>
      <c r="G93" s="68">
        <v>1.2546734809875488</v>
      </c>
      <c r="H93" s="68">
        <v>3.7281601428985596</v>
      </c>
      <c r="I93" s="68">
        <v>4.8693262040615082E-2</v>
      </c>
      <c r="J93" s="68">
        <v>2.8812742233276367</v>
      </c>
    </row>
    <row r="94" spans="1:10" x14ac:dyDescent="0.2">
      <c r="A94" t="s">
        <v>15</v>
      </c>
      <c r="C94" s="68">
        <v>2.3631927967071533</v>
      </c>
      <c r="D94" s="68"/>
      <c r="E94" s="68">
        <v>2.7484179008752108E-3</v>
      </c>
      <c r="F94" s="68">
        <v>10.277260780334473</v>
      </c>
      <c r="G94" s="68">
        <v>1.2761136293411255</v>
      </c>
      <c r="H94" s="68">
        <v>4.127586841583252</v>
      </c>
      <c r="I94" s="68">
        <v>4.0168099105358124E-2</v>
      </c>
      <c r="J94" s="68">
        <v>3.2727117538452148</v>
      </c>
    </row>
    <row r="95" spans="1:10" x14ac:dyDescent="0.2">
      <c r="A95" t="s">
        <v>305</v>
      </c>
      <c r="C95" s="68">
        <v>1.0286059379577637</v>
      </c>
      <c r="D95" s="68"/>
      <c r="E95" s="68">
        <v>0.99486565589904785</v>
      </c>
      <c r="F95" s="68">
        <v>1.0005688667297363</v>
      </c>
      <c r="G95" s="68">
        <v>0.96887403726577759</v>
      </c>
      <c r="H95" s="68">
        <v>0.98842346668243408</v>
      </c>
      <c r="I95" s="68">
        <v>1.0171142816543579</v>
      </c>
      <c r="J95" s="68">
        <v>0.98650538921356201</v>
      </c>
    </row>
    <row r="96" spans="1:10" x14ac:dyDescent="0.2">
      <c r="A96" t="s">
        <v>16</v>
      </c>
      <c r="C96" s="68">
        <v>1.0639389753341675</v>
      </c>
      <c r="D96" s="68"/>
      <c r="E96" s="68">
        <v>0.84581941366195679</v>
      </c>
      <c r="F96" s="68">
        <v>1.0969352722167969</v>
      </c>
      <c r="G96" s="68">
        <v>1.007493257522583</v>
      </c>
      <c r="H96" s="68">
        <v>1.0452009439468384</v>
      </c>
      <c r="I96" s="68">
        <v>0.91212594509124756</v>
      </c>
      <c r="J96" s="68">
        <v>0.98741906881332397</v>
      </c>
    </row>
    <row r="97" spans="1:10" x14ac:dyDescent="0.2">
      <c r="A97" t="s">
        <v>308</v>
      </c>
      <c r="C97" s="68">
        <v>1.0204886198043823</v>
      </c>
      <c r="D97" s="68"/>
      <c r="E97" s="68">
        <v>0.99390387535095215</v>
      </c>
      <c r="F97" s="68">
        <v>1.0090569257736206</v>
      </c>
      <c r="G97" s="68">
        <v>1.0005278587341309</v>
      </c>
      <c r="H97" s="68">
        <v>1.0058081150054932</v>
      </c>
      <c r="I97" s="68">
        <v>0.9951891303062439</v>
      </c>
      <c r="J97" s="68">
        <v>0.99785172939300537</v>
      </c>
    </row>
    <row r="99" spans="1:10" x14ac:dyDescent="0.2">
      <c r="A99" s="9" t="s">
        <v>42</v>
      </c>
    </row>
    <row r="100" spans="1:10" x14ac:dyDescent="0.2">
      <c r="A100" s="74" t="s">
        <v>407</v>
      </c>
      <c r="C100" s="74">
        <v>1</v>
      </c>
      <c r="D100" s="74">
        <v>2</v>
      </c>
      <c r="E100" s="74">
        <v>3</v>
      </c>
      <c r="F100" s="74">
        <v>4</v>
      </c>
      <c r="G100" s="74">
        <v>5</v>
      </c>
      <c r="H100" s="74">
        <v>6</v>
      </c>
      <c r="I100" s="74">
        <v>7</v>
      </c>
      <c r="J100" s="75" t="s">
        <v>183</v>
      </c>
    </row>
    <row r="101" spans="1:10" x14ac:dyDescent="0.2">
      <c r="A101" t="s">
        <v>1</v>
      </c>
      <c r="C101" s="68">
        <v>33.030002593994141</v>
      </c>
      <c r="D101" s="68"/>
      <c r="E101" s="68">
        <v>20.860000610351563</v>
      </c>
      <c r="F101" s="68">
        <v>25.739999771118164</v>
      </c>
      <c r="G101" s="68">
        <v>19.5</v>
      </c>
      <c r="H101" s="68">
        <v>12.869999885559082</v>
      </c>
      <c r="I101" s="68">
        <v>26.100000381469727</v>
      </c>
      <c r="J101" s="68">
        <v>20.88749885559082</v>
      </c>
    </row>
    <row r="102" spans="1:10" x14ac:dyDescent="0.2">
      <c r="A102" t="s">
        <v>2</v>
      </c>
      <c r="C102" s="68">
        <v>236.25001525878906</v>
      </c>
      <c r="D102" s="68"/>
      <c r="E102" s="68">
        <v>78.180000305175781</v>
      </c>
      <c r="F102" s="68">
        <v>129.239990234375</v>
      </c>
      <c r="G102" s="68">
        <v>98.910003662109375</v>
      </c>
      <c r="H102" s="68">
        <v>107.90000152587891</v>
      </c>
      <c r="I102" s="68">
        <v>63.850002288818359</v>
      </c>
      <c r="J102" s="68">
        <v>108.19950103759766</v>
      </c>
    </row>
    <row r="103" spans="1:10" x14ac:dyDescent="0.2">
      <c r="A103" t="s">
        <v>3</v>
      </c>
      <c r="C103" s="68">
        <v>15.290173530578613</v>
      </c>
      <c r="D103" s="68"/>
      <c r="E103" s="68">
        <v>7.3775815963745117</v>
      </c>
      <c r="F103" s="68">
        <v>8.6206569671630859</v>
      </c>
      <c r="G103" s="68">
        <v>7.614048957824707</v>
      </c>
      <c r="H103" s="68">
        <v>6.9012932777404785</v>
      </c>
      <c r="I103" s="68">
        <v>7.9695358276367188</v>
      </c>
      <c r="J103" s="68">
        <v>3.5910658836364746</v>
      </c>
    </row>
    <row r="104" spans="1:10" x14ac:dyDescent="0.2">
      <c r="A104" t="s">
        <v>4</v>
      </c>
      <c r="C104" s="68">
        <v>38.439998626708984</v>
      </c>
      <c r="D104" s="68"/>
      <c r="E104" s="68">
        <v>1.343999981880188</v>
      </c>
      <c r="F104" s="68">
        <v>12.560999870300293</v>
      </c>
      <c r="G104" s="68">
        <v>4.3920001983642578</v>
      </c>
      <c r="H104" s="68">
        <v>3.8279998302459717</v>
      </c>
      <c r="I104" s="68">
        <v>2.0519998073577881</v>
      </c>
      <c r="J104" s="68">
        <v>7.3242998123168945</v>
      </c>
    </row>
    <row r="105" spans="1:10" x14ac:dyDescent="0.2">
      <c r="A105" t="s">
        <v>5</v>
      </c>
      <c r="C105" s="68">
        <v>3.7999998778104782E-2</v>
      </c>
      <c r="D105" s="68"/>
      <c r="E105" s="68">
        <v>0.12000000476837158</v>
      </c>
      <c r="F105" s="68">
        <v>0.11599999666213989</v>
      </c>
      <c r="G105" s="68">
        <v>9.2000000178813934E-2</v>
      </c>
      <c r="H105" s="68">
        <v>0.15000000596046448</v>
      </c>
      <c r="I105" s="68">
        <v>0.14499999582767487</v>
      </c>
      <c r="J105" s="68">
        <v>0.11720000207424164</v>
      </c>
    </row>
    <row r="106" spans="1:10" x14ac:dyDescent="0.2">
      <c r="A106" t="s">
        <v>6</v>
      </c>
      <c r="C106" s="68">
        <v>119.84000396728516</v>
      </c>
      <c r="D106" s="68"/>
      <c r="E106" s="68">
        <v>47.070003509521484</v>
      </c>
      <c r="F106" s="68">
        <v>42</v>
      </c>
      <c r="G106" s="68">
        <v>28.649999618530273</v>
      </c>
      <c r="H106" s="68">
        <v>35.560001373291016</v>
      </c>
      <c r="I106" s="68">
        <v>9.0599994659423828</v>
      </c>
      <c r="J106" s="68">
        <v>44.398502349853516</v>
      </c>
    </row>
    <row r="107" spans="1:10" x14ac:dyDescent="0.2">
      <c r="A107" t="s">
        <v>7</v>
      </c>
      <c r="C107" s="68">
        <v>40</v>
      </c>
      <c r="D107" s="68"/>
      <c r="E107" s="68">
        <v>10.559999465942383</v>
      </c>
      <c r="F107" s="68">
        <v>35.520000457763672</v>
      </c>
      <c r="G107" s="68">
        <v>8.1599998474121094</v>
      </c>
      <c r="H107" s="68">
        <v>5.5500001907348633</v>
      </c>
      <c r="I107" s="68">
        <v>17</v>
      </c>
      <c r="J107" s="68">
        <v>15.031499862670898</v>
      </c>
    </row>
    <row r="108" spans="1:10" x14ac:dyDescent="0.2">
      <c r="A108" t="s">
        <v>284</v>
      </c>
      <c r="C108" s="68">
        <v>1366.44091796875</v>
      </c>
      <c r="D108" s="68"/>
      <c r="E108" s="68">
        <v>101.93462371826172</v>
      </c>
      <c r="F108" s="68">
        <v>641.685546875</v>
      </c>
      <c r="G108" s="68">
        <v>188.45558166503906</v>
      </c>
      <c r="H108" s="68">
        <v>120.52610015869141</v>
      </c>
      <c r="I108" s="68">
        <v>112.13143157958984</v>
      </c>
      <c r="J108" s="68">
        <v>159.86601257324219</v>
      </c>
    </row>
    <row r="109" spans="1:10" x14ac:dyDescent="0.2">
      <c r="A109" t="s">
        <v>286</v>
      </c>
      <c r="C109" s="68">
        <v>2.9201533794403076</v>
      </c>
      <c r="D109" s="68"/>
      <c r="E109" s="68">
        <v>0.47430413961410522</v>
      </c>
      <c r="F109" s="68">
        <v>1.9082529544830322</v>
      </c>
      <c r="G109" s="68">
        <v>1.1052042245864868</v>
      </c>
      <c r="H109" s="68">
        <v>1.2862304449081421</v>
      </c>
      <c r="I109" s="68">
        <v>0.72800374031066895</v>
      </c>
      <c r="J109" s="68">
        <v>0.5273747444152832</v>
      </c>
    </row>
    <row r="110" spans="1:10" x14ac:dyDescent="0.2">
      <c r="A110" t="s">
        <v>288</v>
      </c>
      <c r="C110" s="68">
        <v>0.7276686429977417</v>
      </c>
      <c r="D110" s="68"/>
      <c r="E110" s="68">
        <v>1.1754125356674194</v>
      </c>
      <c r="F110" s="68">
        <v>0.69572824239730835</v>
      </c>
      <c r="G110" s="68">
        <v>1.3073194026947021</v>
      </c>
      <c r="H110" s="68">
        <v>1.6095362901687622</v>
      </c>
      <c r="I110" s="68">
        <v>1.4278800487518311</v>
      </c>
      <c r="J110" s="68">
        <v>0.59601610898971558</v>
      </c>
    </row>
    <row r="111" spans="1:10" x14ac:dyDescent="0.2">
      <c r="A111" t="s">
        <v>289</v>
      </c>
      <c r="C111" s="68">
        <v>3.5609147548675537</v>
      </c>
      <c r="D111" s="68"/>
      <c r="E111" s="68">
        <v>1.9545708894729614</v>
      </c>
      <c r="F111" s="68">
        <v>2.7592005729675293</v>
      </c>
      <c r="G111" s="68">
        <v>2.1549522876739502</v>
      </c>
      <c r="H111" s="68">
        <v>2.7185721397399902</v>
      </c>
      <c r="I111" s="68">
        <v>2.1155519485473633</v>
      </c>
      <c r="J111" s="68">
        <v>1.0760668516159058</v>
      </c>
    </row>
    <row r="112" spans="1:10" x14ac:dyDescent="0.2">
      <c r="A112" t="s">
        <v>8</v>
      </c>
      <c r="C112" s="68">
        <v>1.3513649702072144</v>
      </c>
      <c r="D112" s="68">
        <v>1.0399999618530273</v>
      </c>
      <c r="E112" s="68">
        <v>0.7508699893951416</v>
      </c>
      <c r="F112" s="68">
        <v>2.9168834686279297</v>
      </c>
      <c r="G112" s="68">
        <v>0.58533596992492676</v>
      </c>
      <c r="H112" s="68">
        <v>0.42751398682594299</v>
      </c>
      <c r="I112" s="68">
        <v>0.5823589563369751</v>
      </c>
      <c r="J112" s="68">
        <v>0.40261539816856384</v>
      </c>
    </row>
    <row r="113" spans="1:10" x14ac:dyDescent="0.2">
      <c r="A113" t="s">
        <v>9</v>
      </c>
      <c r="C113" s="68">
        <v>1.6960306167602539</v>
      </c>
      <c r="D113" s="68">
        <v>6.2432990074157715</v>
      </c>
      <c r="E113" s="68">
        <v>5.1310567855834961</v>
      </c>
      <c r="F113" s="68">
        <v>7.6779098510742188</v>
      </c>
      <c r="G113" s="68">
        <v>3.7269854545593262</v>
      </c>
      <c r="H113" s="68">
        <v>3.1799437999725342</v>
      </c>
      <c r="I113" s="68">
        <v>4.662498950958252</v>
      </c>
      <c r="J113" s="68">
        <v>2.1286613941192627</v>
      </c>
    </row>
    <row r="114" spans="1:10" x14ac:dyDescent="0.2">
      <c r="A114" t="s">
        <v>293</v>
      </c>
      <c r="C114" s="68">
        <v>1.3203773498535156</v>
      </c>
      <c r="D114" s="68"/>
      <c r="E114" s="68">
        <v>5.0165934562683105</v>
      </c>
      <c r="F114" s="68">
        <v>7.4559860229492188</v>
      </c>
      <c r="G114" s="68">
        <v>3.6440961360931396</v>
      </c>
      <c r="H114" s="68">
        <v>3.1092526912689209</v>
      </c>
      <c r="I114" s="68">
        <v>4.5602822303771973</v>
      </c>
      <c r="J114" s="68">
        <v>1.9872782230377197</v>
      </c>
    </row>
    <row r="115" spans="1:10" x14ac:dyDescent="0.2">
      <c r="A115" t="s">
        <v>295</v>
      </c>
      <c r="C115" s="68">
        <v>8.040888786315918</v>
      </c>
      <c r="D115" s="68"/>
      <c r="E115" s="68">
        <v>0.63396376371383667</v>
      </c>
      <c r="F115" s="68">
        <v>3.7241425514221191</v>
      </c>
      <c r="G115" s="68">
        <v>1.877534031867981</v>
      </c>
      <c r="H115" s="68">
        <v>2.641646146774292</v>
      </c>
      <c r="I115" s="68">
        <v>1.1511557102203369</v>
      </c>
      <c r="J115" s="68">
        <v>1.1619522571563721</v>
      </c>
    </row>
    <row r="116" spans="1:10" x14ac:dyDescent="0.2">
      <c r="A116" t="s">
        <v>297</v>
      </c>
      <c r="C116" s="68">
        <v>0.10577616840600967</v>
      </c>
      <c r="D116" s="68"/>
      <c r="E116" s="68">
        <v>9.3748047947883606E-3</v>
      </c>
      <c r="F116" s="68">
        <v>5.4758470505475998E-2</v>
      </c>
      <c r="G116" s="68">
        <v>3.4734074026346207E-2</v>
      </c>
      <c r="H116" s="68">
        <v>4.0225986391305923E-2</v>
      </c>
      <c r="I116" s="68">
        <v>1.480192132294178E-2</v>
      </c>
      <c r="J116" s="68">
        <v>1.6740860417485237E-2</v>
      </c>
    </row>
    <row r="117" spans="1:10" x14ac:dyDescent="0.2">
      <c r="A117" t="s">
        <v>10</v>
      </c>
      <c r="C117" s="68">
        <v>1.1546497344970703</v>
      </c>
      <c r="D117" s="68"/>
      <c r="E117" s="68">
        <v>1.9730663299560547</v>
      </c>
      <c r="F117" s="68">
        <v>18.234960556030273</v>
      </c>
      <c r="G117" s="68">
        <v>27.721382141113281</v>
      </c>
      <c r="H117" s="68">
        <v>24.478116989135742</v>
      </c>
      <c r="I117" s="68">
        <v>5.5674128532409668</v>
      </c>
      <c r="J117" s="68">
        <v>7.664055347442627</v>
      </c>
    </row>
    <row r="118" spans="1:10" x14ac:dyDescent="0.2">
      <c r="A118" t="s">
        <v>11</v>
      </c>
      <c r="C118" s="68">
        <v>12.029455184936523</v>
      </c>
      <c r="D118" s="68"/>
      <c r="E118" s="68">
        <v>7.7647924423217773E-2</v>
      </c>
      <c r="F118" s="68">
        <v>33.890113830566406</v>
      </c>
      <c r="G118" s="68">
        <v>5.9581089019775391</v>
      </c>
      <c r="H118" s="68">
        <v>7.4018306732177734</v>
      </c>
      <c r="I118" s="68">
        <v>0.34407785534858704</v>
      </c>
      <c r="J118" s="68">
        <v>4.142120361328125</v>
      </c>
    </row>
    <row r="119" spans="1:10" x14ac:dyDescent="0.2">
      <c r="A119" t="s">
        <v>12</v>
      </c>
      <c r="C119" s="68">
        <v>26.577285766601563</v>
      </c>
      <c r="D119" s="68"/>
      <c r="E119" s="68">
        <v>6.5691359341144562E-3</v>
      </c>
      <c r="F119" s="68">
        <v>26.909061431884766</v>
      </c>
      <c r="G119" s="68">
        <v>1.3599125146865845</v>
      </c>
      <c r="H119" s="68">
        <v>2.0611369609832764</v>
      </c>
      <c r="I119" s="68">
        <v>3.7913244217634201E-2</v>
      </c>
      <c r="J119" s="68">
        <v>3.8224992752075195</v>
      </c>
    </row>
    <row r="120" spans="1:10" x14ac:dyDescent="0.2">
      <c r="A120" t="s">
        <v>13</v>
      </c>
      <c r="C120" s="68">
        <v>35.966167449951172</v>
      </c>
      <c r="D120" s="68"/>
      <c r="E120" s="68">
        <v>8.7925972184166312E-4</v>
      </c>
      <c r="F120" s="68">
        <v>17.736774444580078</v>
      </c>
      <c r="G120" s="68">
        <v>0.36822369694709778</v>
      </c>
      <c r="H120" s="68">
        <v>0.6426275372505188</v>
      </c>
      <c r="I120" s="68">
        <v>6.1218468472361565E-3</v>
      </c>
      <c r="J120" s="68">
        <v>4.0137996673583984</v>
      </c>
    </row>
    <row r="121" spans="1:10" x14ac:dyDescent="0.2">
      <c r="A121" t="s">
        <v>14</v>
      </c>
      <c r="C121" s="68">
        <v>39.232711791992188</v>
      </c>
      <c r="D121" s="68"/>
      <c r="E121" s="68">
        <v>1.5936630370561033E-4</v>
      </c>
      <c r="F121" s="68">
        <v>11.065647125244141</v>
      </c>
      <c r="G121" s="68">
        <v>0.11530884355306625</v>
      </c>
      <c r="H121" s="68">
        <v>0.22451019287109375</v>
      </c>
      <c r="I121" s="68">
        <v>1.2835052330046892E-3</v>
      </c>
      <c r="J121" s="68">
        <v>4.0767555236816406</v>
      </c>
    </row>
    <row r="122" spans="1:10" x14ac:dyDescent="0.2">
      <c r="A122" t="s">
        <v>15</v>
      </c>
      <c r="C122" s="68">
        <v>38.234867095947266</v>
      </c>
      <c r="D122" s="68"/>
      <c r="E122" s="68">
        <v>3.5864948586095124E-5</v>
      </c>
      <c r="F122" s="68">
        <v>6.8368210792541504</v>
      </c>
      <c r="G122" s="68">
        <v>4.0573820471763611E-2</v>
      </c>
      <c r="H122" s="68">
        <v>8.6390547454357147E-2</v>
      </c>
      <c r="I122" s="68">
        <v>3.2535512582398951E-4</v>
      </c>
      <c r="J122" s="68">
        <v>3.8841850757598877</v>
      </c>
    </row>
    <row r="123" spans="1:10" x14ac:dyDescent="0.2">
      <c r="A123" t="s">
        <v>305</v>
      </c>
      <c r="C123" s="68">
        <v>1.2786966562271118</v>
      </c>
      <c r="D123" s="68"/>
      <c r="E123" s="68">
        <v>1.9891148805618286</v>
      </c>
      <c r="F123" s="68">
        <v>1.5628788471221924</v>
      </c>
      <c r="G123" s="68">
        <v>2.1311984062194824</v>
      </c>
      <c r="H123" s="68">
        <v>1.8470395803451538</v>
      </c>
      <c r="I123" s="68">
        <v>2.5574395656585693</v>
      </c>
      <c r="J123" s="68">
        <v>0.88185179233551025</v>
      </c>
    </row>
    <row r="124" spans="1:10" x14ac:dyDescent="0.2">
      <c r="A124" t="s">
        <v>16</v>
      </c>
      <c r="C124" s="68">
        <v>5.992732048034668</v>
      </c>
      <c r="D124" s="68"/>
      <c r="E124" s="68">
        <v>4.639594554901123</v>
      </c>
      <c r="F124" s="68">
        <v>5.1228880882263184</v>
      </c>
      <c r="G124" s="68">
        <v>5.8960752487182617</v>
      </c>
      <c r="H124" s="68">
        <v>4.252960205078125</v>
      </c>
      <c r="I124" s="68">
        <v>5.5094475746154785</v>
      </c>
      <c r="J124" s="68">
        <v>2.1850063800811768</v>
      </c>
    </row>
    <row r="125" spans="1:10" x14ac:dyDescent="0.2">
      <c r="A125" t="s">
        <v>308</v>
      </c>
      <c r="C125" s="68">
        <v>2.6976306438446045</v>
      </c>
      <c r="D125" s="68"/>
      <c r="E125" s="68">
        <v>4.2594170570373535</v>
      </c>
      <c r="F125" s="68">
        <v>8.2348728179931641</v>
      </c>
      <c r="G125" s="68">
        <v>3.2655532360076904</v>
      </c>
      <c r="H125" s="68">
        <v>3.549574613571167</v>
      </c>
      <c r="I125" s="68">
        <v>4.1174378395080566</v>
      </c>
      <c r="J125" s="68">
        <v>1.8922867774963379</v>
      </c>
    </row>
    <row r="127" spans="1:10" x14ac:dyDescent="0.2">
      <c r="A127" s="9" t="s">
        <v>46</v>
      </c>
    </row>
    <row r="128" spans="1:10" x14ac:dyDescent="0.2">
      <c r="A128" s="74" t="s">
        <v>407</v>
      </c>
      <c r="C128" s="74">
        <v>1</v>
      </c>
      <c r="D128" s="74">
        <v>2</v>
      </c>
      <c r="E128" s="74">
        <v>3</v>
      </c>
      <c r="F128" s="74">
        <v>4</v>
      </c>
      <c r="G128" s="74">
        <v>5</v>
      </c>
      <c r="H128" s="74">
        <v>6</v>
      </c>
      <c r="I128" s="74">
        <v>7</v>
      </c>
      <c r="J128" s="75" t="s">
        <v>183</v>
      </c>
    </row>
    <row r="129" spans="1:10" x14ac:dyDescent="0.2">
      <c r="A129" t="s">
        <v>1</v>
      </c>
      <c r="C129" s="68">
        <v>77.929542541503906</v>
      </c>
      <c r="D129" s="68">
        <v>36.660587310791016</v>
      </c>
      <c r="E129" s="68">
        <v>32.189292907714844</v>
      </c>
      <c r="F129" s="68">
        <v>37.531661987304688</v>
      </c>
      <c r="G129" s="68">
        <v>27.268613815307617</v>
      </c>
      <c r="H129" s="68">
        <v>29.774753570556641</v>
      </c>
      <c r="I129" s="68">
        <v>31.689216613769531</v>
      </c>
      <c r="J129" s="68">
        <v>29.435922622680664</v>
      </c>
    </row>
    <row r="130" spans="1:10" x14ac:dyDescent="0.2">
      <c r="A130" t="s">
        <v>2</v>
      </c>
      <c r="C130" s="68">
        <v>291.91287231445313</v>
      </c>
      <c r="D130" s="68">
        <v>232.11773681640625</v>
      </c>
      <c r="E130" s="68">
        <v>215.96072387695313</v>
      </c>
      <c r="F130" s="68">
        <v>143.64143371582031</v>
      </c>
      <c r="G130" s="68">
        <v>138.87336730957031</v>
      </c>
      <c r="H130" s="68">
        <v>182.93833923339844</v>
      </c>
      <c r="I130" s="68">
        <v>203.12103271484375</v>
      </c>
      <c r="J130" s="68">
        <v>179.64971923828125</v>
      </c>
    </row>
    <row r="131" spans="1:10" x14ac:dyDescent="0.2">
      <c r="A131" t="s">
        <v>3</v>
      </c>
      <c r="C131" s="68">
        <v>21.555744171142578</v>
      </c>
      <c r="D131" s="68">
        <v>14.366521835327148</v>
      </c>
      <c r="E131" s="68">
        <v>12.173097610473633</v>
      </c>
      <c r="F131" s="68">
        <v>10.277215003967285</v>
      </c>
      <c r="G131" s="68">
        <v>8.4353818893432617</v>
      </c>
      <c r="H131" s="68">
        <v>10.966791152954102</v>
      </c>
      <c r="I131" s="68">
        <v>11.373903274536133</v>
      </c>
      <c r="J131" s="68">
        <v>10.477024078369141</v>
      </c>
    </row>
    <row r="132" spans="1:10" x14ac:dyDescent="0.2">
      <c r="A132" t="s">
        <v>4</v>
      </c>
      <c r="C132" s="68">
        <v>14.48124885559082</v>
      </c>
      <c r="D132" s="68">
        <v>2.9449670314788818</v>
      </c>
      <c r="E132" s="68">
        <v>2.312856912612915</v>
      </c>
      <c r="F132" s="68">
        <v>7.3131594657897949</v>
      </c>
      <c r="G132" s="68">
        <v>2.4753196239471436</v>
      </c>
      <c r="H132" s="68">
        <v>2.5273163318634033</v>
      </c>
      <c r="I132" s="68">
        <v>2.105445384979248</v>
      </c>
      <c r="J132" s="68">
        <v>2.8382587432861328</v>
      </c>
    </row>
    <row r="133" spans="1:10" x14ac:dyDescent="0.2">
      <c r="A133" t="s">
        <v>5</v>
      </c>
      <c r="C133" s="68">
        <v>6.4601235091686249E-2</v>
      </c>
      <c r="D133" s="68">
        <v>0.13080531358718872</v>
      </c>
      <c r="E133" s="68">
        <v>0.11215432733297348</v>
      </c>
      <c r="F133" s="68">
        <v>0.12150876224040985</v>
      </c>
      <c r="G133" s="68">
        <v>9.6127822995185852E-2</v>
      </c>
      <c r="H133" s="68">
        <v>0.16016639769077301</v>
      </c>
      <c r="I133" s="68">
        <v>0.13774056732654572</v>
      </c>
      <c r="J133" s="68">
        <v>6.5410986542701721E-2</v>
      </c>
    </row>
    <row r="134" spans="1:10" x14ac:dyDescent="0.2">
      <c r="A134" t="s">
        <v>6</v>
      </c>
      <c r="C134" s="68">
        <v>336.70925903320313</v>
      </c>
      <c r="D134" s="68">
        <v>85.383453369140625</v>
      </c>
      <c r="E134" s="68">
        <v>76.021812438964844</v>
      </c>
      <c r="F134" s="68">
        <v>157.95799255371094</v>
      </c>
      <c r="G134" s="68">
        <v>78.233299255371094</v>
      </c>
      <c r="H134" s="68">
        <v>70.892799377441406</v>
      </c>
      <c r="I134" s="68">
        <v>66.736152648925781</v>
      </c>
      <c r="J134" s="68">
        <v>91.837142944335938</v>
      </c>
    </row>
    <row r="135" spans="1:10" x14ac:dyDescent="0.2">
      <c r="A135" t="s">
        <v>7</v>
      </c>
      <c r="C135" s="68">
        <v>37.625324249267578</v>
      </c>
      <c r="D135" s="68">
        <v>23.880752563476563</v>
      </c>
      <c r="E135" s="68">
        <v>18.468111038208008</v>
      </c>
      <c r="F135" s="68">
        <v>61.775638580322266</v>
      </c>
      <c r="G135" s="68">
        <v>15.534360885620117</v>
      </c>
      <c r="H135" s="68">
        <v>10.793889045715332</v>
      </c>
      <c r="I135" s="68">
        <v>14.291318893432617</v>
      </c>
      <c r="J135" s="68">
        <v>14.179003715515137</v>
      </c>
    </row>
    <row r="136" spans="1:10" x14ac:dyDescent="0.2">
      <c r="A136" t="s">
        <v>284</v>
      </c>
      <c r="C136" s="68">
        <v>1173.60693359375</v>
      </c>
      <c r="D136" s="68">
        <v>159.39414978027344</v>
      </c>
      <c r="E136" s="68">
        <v>126.83633422851563</v>
      </c>
      <c r="F136" s="68">
        <v>349.91058349609375</v>
      </c>
      <c r="G136" s="68">
        <v>126.50560760498047</v>
      </c>
      <c r="H136" s="68">
        <v>101.32105255126953</v>
      </c>
      <c r="I136" s="68">
        <v>100.20472717285156</v>
      </c>
      <c r="J136" s="68">
        <v>196.1956787109375</v>
      </c>
    </row>
    <row r="137" spans="1:10" x14ac:dyDescent="0.2">
      <c r="A137" t="s">
        <v>286</v>
      </c>
      <c r="C137" s="68">
        <v>2.0441608428955078</v>
      </c>
      <c r="D137" s="68">
        <v>0.99476563930511475</v>
      </c>
      <c r="E137" s="68">
        <v>0.79762393236160278</v>
      </c>
      <c r="F137" s="68">
        <v>1.7524299621582031</v>
      </c>
      <c r="G137" s="68">
        <v>0.795643150806427</v>
      </c>
      <c r="H137" s="68">
        <v>1.1273676156997681</v>
      </c>
      <c r="I137" s="68">
        <v>0.8637804388999939</v>
      </c>
      <c r="J137" s="68">
        <v>0.62959468364715576</v>
      </c>
    </row>
    <row r="138" spans="1:10" x14ac:dyDescent="0.2">
      <c r="A138" t="s">
        <v>288</v>
      </c>
      <c r="C138" s="68">
        <v>1.124311089515686</v>
      </c>
      <c r="D138" s="68">
        <v>1.5877809524536133</v>
      </c>
      <c r="E138" s="68">
        <v>2.0737643241882324</v>
      </c>
      <c r="F138" s="68">
        <v>0.83928632736206055</v>
      </c>
      <c r="G138" s="68">
        <v>1.4735962152481079</v>
      </c>
      <c r="H138" s="68">
        <v>2.823620080947876</v>
      </c>
      <c r="I138" s="68">
        <v>2.4001574516296387</v>
      </c>
      <c r="J138" s="68">
        <v>1.7523069381713867</v>
      </c>
    </row>
    <row r="139" spans="1:10" x14ac:dyDescent="0.2">
      <c r="A139" t="s">
        <v>289</v>
      </c>
      <c r="C139" s="68">
        <v>2.1116664409637451</v>
      </c>
      <c r="D139" s="68">
        <v>2.8786108493804932</v>
      </c>
      <c r="E139" s="68">
        <v>4.3673434257507324</v>
      </c>
      <c r="F139" s="68">
        <v>2.7391624450683594</v>
      </c>
      <c r="G139" s="68">
        <v>3.0366795063018799</v>
      </c>
      <c r="H139" s="68">
        <v>5.7675685882568359</v>
      </c>
      <c r="I139" s="68">
        <v>4.6784305572509766</v>
      </c>
      <c r="J139" s="68">
        <v>3.418872594833374</v>
      </c>
    </row>
    <row r="140" spans="1:10" x14ac:dyDescent="0.2">
      <c r="A140" t="s">
        <v>8</v>
      </c>
      <c r="C140" s="68">
        <v>1.3513649702072144</v>
      </c>
      <c r="D140" s="68">
        <v>1.0399999618530273</v>
      </c>
      <c r="E140" s="68">
        <v>0.7508699893951416</v>
      </c>
      <c r="F140" s="68">
        <v>2.9168834686279297</v>
      </c>
      <c r="G140" s="68">
        <v>0.58533596992492676</v>
      </c>
      <c r="H140" s="68">
        <v>0.42751398682594299</v>
      </c>
      <c r="I140" s="68">
        <v>0.5823589563369751</v>
      </c>
      <c r="J140" s="68">
        <v>0.40261539816856384</v>
      </c>
    </row>
    <row r="141" spans="1:10" x14ac:dyDescent="0.2">
      <c r="A141" t="s">
        <v>9</v>
      </c>
      <c r="C141" s="68">
        <v>1.6960306167602539</v>
      </c>
      <c r="D141" s="68">
        <v>6.2432990074157715</v>
      </c>
      <c r="E141" s="68">
        <v>5.1310567855834961</v>
      </c>
      <c r="F141" s="68">
        <v>7.6779098510742188</v>
      </c>
      <c r="G141" s="68">
        <v>3.7269854545593262</v>
      </c>
      <c r="H141" s="68">
        <v>3.1799437999725342</v>
      </c>
      <c r="I141" s="68">
        <v>4.662498950958252</v>
      </c>
      <c r="J141" s="68">
        <v>2.1286616325378418</v>
      </c>
    </row>
    <row r="142" spans="1:10" x14ac:dyDescent="0.2">
      <c r="A142" t="s">
        <v>293</v>
      </c>
      <c r="C142" s="68">
        <v>1.6374490261077881</v>
      </c>
      <c r="D142" s="68">
        <v>6.158355712890625</v>
      </c>
      <c r="E142" s="68">
        <v>5.1723542213439941</v>
      </c>
      <c r="F142" s="68">
        <v>7.3916025161743164</v>
      </c>
      <c r="G142" s="68">
        <v>3.8214216232299805</v>
      </c>
      <c r="H142" s="68">
        <v>3.1652367115020752</v>
      </c>
      <c r="I142" s="68">
        <v>4.6846375465393066</v>
      </c>
      <c r="J142" s="68">
        <v>2.4456729888916016</v>
      </c>
    </row>
    <row r="143" spans="1:10" x14ac:dyDescent="0.2">
      <c r="A143" t="s">
        <v>295</v>
      </c>
      <c r="C143" s="68">
        <v>4.5220270156860352</v>
      </c>
      <c r="D143" s="68">
        <v>1.7431366443634033</v>
      </c>
      <c r="E143" s="68">
        <v>1.3454867601394653</v>
      </c>
      <c r="F143" s="68">
        <v>2.9881463050842285</v>
      </c>
      <c r="G143" s="68">
        <v>1.3746891021728516</v>
      </c>
      <c r="H143" s="68">
        <v>2.1993491649627686</v>
      </c>
      <c r="I143" s="68">
        <v>1.5231754779815674</v>
      </c>
      <c r="J143" s="68">
        <v>1.1286360025405884</v>
      </c>
    </row>
    <row r="144" spans="1:10" x14ac:dyDescent="0.2">
      <c r="A144" t="s">
        <v>297</v>
      </c>
      <c r="C144" s="68">
        <v>5.028359591960907E-2</v>
      </c>
      <c r="D144" s="68">
        <v>1.649843156337738E-2</v>
      </c>
      <c r="E144" s="68">
        <v>1.6849527135491371E-2</v>
      </c>
      <c r="F144" s="68">
        <v>3.2138265669345856E-2</v>
      </c>
      <c r="G144" s="68">
        <v>1.7658576369285583E-2</v>
      </c>
      <c r="H144" s="68">
        <v>2.8268307447433472E-2</v>
      </c>
      <c r="I144" s="68">
        <v>1.8163390457630157E-2</v>
      </c>
      <c r="J144" s="68">
        <v>1.7355417832732201E-2</v>
      </c>
    </row>
    <row r="145" spans="1:10" x14ac:dyDescent="0.2">
      <c r="A145" t="s">
        <v>10</v>
      </c>
      <c r="C145" s="68">
        <v>3.5192203521728516</v>
      </c>
      <c r="D145" s="68">
        <v>18.118305206298828</v>
      </c>
      <c r="E145" s="68">
        <v>12.962411880493164</v>
      </c>
      <c r="F145" s="68">
        <v>34.197093963623047</v>
      </c>
      <c r="G145" s="68">
        <v>15.314654350280762</v>
      </c>
      <c r="H145" s="68">
        <v>15.630434036254883</v>
      </c>
      <c r="I145" s="68">
        <v>10.927577018737793</v>
      </c>
      <c r="J145" s="68">
        <v>11.482349395751953</v>
      </c>
    </row>
    <row r="146" spans="1:10" x14ac:dyDescent="0.2">
      <c r="A146" t="s">
        <v>11</v>
      </c>
      <c r="C146" s="68">
        <v>16.471258163452148</v>
      </c>
      <c r="D146" s="68">
        <v>3.4755229949951172</v>
      </c>
      <c r="E146" s="68">
        <v>1.9320796728134155</v>
      </c>
      <c r="F146" s="68">
        <v>22.354848861694336</v>
      </c>
      <c r="G146" s="68">
        <v>3.0030417442321777</v>
      </c>
      <c r="H146" s="68">
        <v>3.0593562126159668</v>
      </c>
      <c r="I146" s="68">
        <v>1.4089395999908447</v>
      </c>
      <c r="J146" s="68">
        <v>3.9063332080841064</v>
      </c>
    </row>
    <row r="147" spans="1:10" x14ac:dyDescent="0.2">
      <c r="A147" t="s">
        <v>12</v>
      </c>
      <c r="C147" s="68">
        <v>22.755416870117188</v>
      </c>
      <c r="D147" s="68">
        <v>0.74282288551330566</v>
      </c>
      <c r="E147" s="68">
        <v>0.35644465684890747</v>
      </c>
      <c r="F147" s="68">
        <v>9.7646341323852539</v>
      </c>
      <c r="G147" s="68">
        <v>0.65016812086105347</v>
      </c>
      <c r="H147" s="68">
        <v>0.66159451007843018</v>
      </c>
      <c r="I147" s="68">
        <v>0.23882685601711273</v>
      </c>
      <c r="J147" s="68">
        <v>2.4332432746887207</v>
      </c>
    </row>
    <row r="148" spans="1:10" x14ac:dyDescent="0.2">
      <c r="A148" t="s">
        <v>13</v>
      </c>
      <c r="C148" s="68">
        <v>22.088968276977539</v>
      </c>
      <c r="D148" s="68">
        <v>0.19202303886413574</v>
      </c>
      <c r="E148" s="68">
        <v>8.3008915185928345E-2</v>
      </c>
      <c r="F148" s="68">
        <v>4.1881685256958008</v>
      </c>
      <c r="G148" s="68">
        <v>0.16962002217769623</v>
      </c>
      <c r="H148" s="68">
        <v>0.17245282232761383</v>
      </c>
      <c r="I148" s="68">
        <v>5.237337201833725E-2</v>
      </c>
      <c r="J148" s="68">
        <v>1.9174098968505859</v>
      </c>
    </row>
    <row r="149" spans="1:10" x14ac:dyDescent="0.2">
      <c r="A149" t="s">
        <v>14</v>
      </c>
      <c r="C149" s="68">
        <v>18.61970329284668</v>
      </c>
      <c r="D149" s="68">
        <v>5.801599845290184E-2</v>
      </c>
      <c r="E149" s="68">
        <v>2.3128289729356766E-2</v>
      </c>
      <c r="F149" s="68">
        <v>1.8738988637924194</v>
      </c>
      <c r="G149" s="68">
        <v>5.1614008843898773E-2</v>
      </c>
      <c r="H149" s="68">
        <v>5.2439913153648376E-2</v>
      </c>
      <c r="I149" s="68">
        <v>1.392736379057169E-2</v>
      </c>
      <c r="J149" s="68">
        <v>1.5153321027755737</v>
      </c>
    </row>
    <row r="150" spans="1:10" x14ac:dyDescent="0.2">
      <c r="A150" t="s">
        <v>15</v>
      </c>
      <c r="C150" s="68">
        <v>14.7069091796875</v>
      </c>
      <c r="D150" s="68">
        <v>1.9827047362923622E-2</v>
      </c>
      <c r="E150" s="68">
        <v>7.3978258296847343E-3</v>
      </c>
      <c r="F150" s="68">
        <v>0.88268172740936279</v>
      </c>
      <c r="G150" s="68">
        <v>1.7742356285452843E-2</v>
      </c>
      <c r="H150" s="68">
        <v>1.8015889450907707E-2</v>
      </c>
      <c r="I150" s="68">
        <v>4.2881271801888943E-3</v>
      </c>
      <c r="J150" s="68">
        <v>1.1669275760650635</v>
      </c>
    </row>
    <row r="151" spans="1:10" x14ac:dyDescent="0.2">
      <c r="A151" t="s">
        <v>305</v>
      </c>
      <c r="C151" s="68">
        <v>3.6416466236114502</v>
      </c>
      <c r="D151" s="68">
        <v>2.7549428939819336</v>
      </c>
      <c r="E151" s="68">
        <v>3.0449390411376953</v>
      </c>
      <c r="F151" s="68">
        <v>2.3216307163238525</v>
      </c>
      <c r="G151" s="68">
        <v>2.5736892223358154</v>
      </c>
      <c r="H151" s="68">
        <v>4.115912914276123</v>
      </c>
      <c r="I151" s="68">
        <v>3.4614481925964355</v>
      </c>
      <c r="J151" s="68">
        <v>2.6495354175567627</v>
      </c>
    </row>
    <row r="152" spans="1:10" x14ac:dyDescent="0.2">
      <c r="A152" t="s">
        <v>16</v>
      </c>
      <c r="C152" s="68">
        <v>3.5203139781951904</v>
      </c>
      <c r="D152" s="68">
        <v>4.2142138481140137</v>
      </c>
      <c r="E152" s="68">
        <v>3.8085527420043945</v>
      </c>
      <c r="F152" s="68">
        <v>5.2997822761535645</v>
      </c>
      <c r="G152" s="68">
        <v>3.4994969367980957</v>
      </c>
      <c r="H152" s="68">
        <v>3.5762250423431396</v>
      </c>
      <c r="I152" s="68">
        <v>3.7584173679351807</v>
      </c>
      <c r="J152" s="68">
        <v>2.8556785583496094</v>
      </c>
    </row>
    <row r="153" spans="1:10" x14ac:dyDescent="0.2">
      <c r="A153" t="s">
        <v>308</v>
      </c>
      <c r="C153" s="68">
        <v>4.172600269317627</v>
      </c>
      <c r="D153" s="68">
        <v>5.28289794921875</v>
      </c>
      <c r="E153" s="68">
        <v>4.2099852561950684</v>
      </c>
      <c r="F153" s="68">
        <v>8.4144477844238281</v>
      </c>
      <c r="G153" s="68">
        <v>3.4821012020111084</v>
      </c>
      <c r="H153" s="68">
        <v>3.7746782302856445</v>
      </c>
      <c r="I153" s="68">
        <v>4.1031093597412109</v>
      </c>
      <c r="J153" s="68">
        <v>2.3431732654571533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85DFD-64F1-4CB7-AE1A-3D394C7D6203}">
  <sheetPr codeName="Sheet1"/>
  <dimension ref="A1:E38"/>
  <sheetViews>
    <sheetView workbookViewId="0"/>
  </sheetViews>
  <sheetFormatPr defaultRowHeight="12.75" x14ac:dyDescent="0.2"/>
  <cols>
    <col min="1" max="1" width="17.85546875" customWidth="1"/>
    <col min="2" max="2" width="4.85546875" customWidth="1"/>
    <col min="3" max="3" width="34" customWidth="1"/>
  </cols>
  <sheetData>
    <row r="1" spans="1:5" x14ac:dyDescent="0.2">
      <c r="A1" s="9" t="s">
        <v>50</v>
      </c>
      <c r="B1" s="9"/>
    </row>
    <row r="2" spans="1:5" x14ac:dyDescent="0.2">
      <c r="A2" s="9" t="s">
        <v>194</v>
      </c>
      <c r="B2" s="9" t="s">
        <v>37</v>
      </c>
    </row>
    <row r="4" spans="1:5" x14ac:dyDescent="0.2">
      <c r="A4" s="9" t="s">
        <v>262</v>
      </c>
    </row>
    <row r="6" spans="1:5" x14ac:dyDescent="0.2">
      <c r="A6" s="93" t="s">
        <v>454</v>
      </c>
      <c r="B6">
        <v>1</v>
      </c>
      <c r="C6" t="s">
        <v>118</v>
      </c>
    </row>
    <row r="7" spans="1:5" x14ac:dyDescent="0.2">
      <c r="A7" s="93" t="s">
        <v>377</v>
      </c>
      <c r="B7">
        <v>2</v>
      </c>
      <c r="C7" t="s">
        <v>119</v>
      </c>
    </row>
    <row r="8" spans="1:5" x14ac:dyDescent="0.2">
      <c r="A8" s="93" t="s">
        <v>38</v>
      </c>
      <c r="B8">
        <v>2</v>
      </c>
      <c r="C8" t="s">
        <v>52</v>
      </c>
      <c r="D8" s="93" t="s">
        <v>455</v>
      </c>
      <c r="E8" t="s">
        <v>378</v>
      </c>
    </row>
    <row r="9" spans="1:5" x14ac:dyDescent="0.2">
      <c r="A9" s="93" t="s">
        <v>38</v>
      </c>
      <c r="B9">
        <v>3</v>
      </c>
      <c r="C9" t="s">
        <v>53</v>
      </c>
      <c r="D9" s="93" t="s">
        <v>455</v>
      </c>
      <c r="E9" t="s">
        <v>378</v>
      </c>
    </row>
    <row r="10" spans="1:5" x14ac:dyDescent="0.2">
      <c r="A10" s="93" t="s">
        <v>38</v>
      </c>
      <c r="B10">
        <v>6</v>
      </c>
      <c r="C10" t="s">
        <v>56</v>
      </c>
      <c r="D10" s="93" t="s">
        <v>455</v>
      </c>
      <c r="E10" t="s">
        <v>378</v>
      </c>
    </row>
    <row r="11" spans="1:5" x14ac:dyDescent="0.2">
      <c r="A11" s="93" t="s">
        <v>38</v>
      </c>
      <c r="B11">
        <v>11</v>
      </c>
      <c r="C11" t="s">
        <v>61</v>
      </c>
      <c r="D11" s="93" t="s">
        <v>455</v>
      </c>
      <c r="E11" t="s">
        <v>379</v>
      </c>
    </row>
    <row r="13" spans="1:5" x14ac:dyDescent="0.2">
      <c r="A13" s="93" t="s">
        <v>454</v>
      </c>
      <c r="B13">
        <v>2</v>
      </c>
      <c r="C13" t="s">
        <v>119</v>
      </c>
    </row>
    <row r="14" spans="1:5" x14ac:dyDescent="0.2">
      <c r="A14" s="93" t="s">
        <v>377</v>
      </c>
      <c r="B14">
        <v>3</v>
      </c>
      <c r="C14" t="s">
        <v>120</v>
      </c>
    </row>
    <row r="15" spans="1:5" x14ac:dyDescent="0.2">
      <c r="A15" s="93" t="s">
        <v>38</v>
      </c>
      <c r="B15">
        <v>7</v>
      </c>
      <c r="C15" t="s">
        <v>57</v>
      </c>
      <c r="D15" s="93" t="s">
        <v>455</v>
      </c>
      <c r="E15" t="s">
        <v>378</v>
      </c>
    </row>
    <row r="17" spans="1:5" x14ac:dyDescent="0.2">
      <c r="A17" s="93" t="s">
        <v>454</v>
      </c>
      <c r="B17">
        <v>3</v>
      </c>
      <c r="C17" t="s">
        <v>120</v>
      </c>
    </row>
    <row r="18" spans="1:5" x14ac:dyDescent="0.2">
      <c r="A18" s="93" t="s">
        <v>377</v>
      </c>
      <c r="B18">
        <v>7</v>
      </c>
      <c r="C18" t="s">
        <v>124</v>
      </c>
    </row>
    <row r="20" spans="1:5" x14ac:dyDescent="0.2">
      <c r="A20" s="93" t="s">
        <v>454</v>
      </c>
      <c r="B20">
        <v>4</v>
      </c>
      <c r="C20" t="s">
        <v>121</v>
      </c>
    </row>
    <row r="21" spans="1:5" x14ac:dyDescent="0.2">
      <c r="A21" s="93" t="s">
        <v>377</v>
      </c>
      <c r="B21">
        <v>5</v>
      </c>
      <c r="C21" t="s">
        <v>122</v>
      </c>
    </row>
    <row r="22" spans="1:5" x14ac:dyDescent="0.2">
      <c r="A22" s="93" t="s">
        <v>38</v>
      </c>
      <c r="B22">
        <v>4</v>
      </c>
      <c r="C22" t="s">
        <v>54</v>
      </c>
      <c r="D22" s="93" t="s">
        <v>455</v>
      </c>
      <c r="E22" t="s">
        <v>378</v>
      </c>
    </row>
    <row r="23" spans="1:5" x14ac:dyDescent="0.2">
      <c r="A23" s="93" t="s">
        <v>38</v>
      </c>
      <c r="B23">
        <v>5</v>
      </c>
      <c r="C23" t="s">
        <v>55</v>
      </c>
      <c r="D23" s="93" t="s">
        <v>455</v>
      </c>
      <c r="E23" t="s">
        <v>378</v>
      </c>
    </row>
    <row r="24" spans="1:5" x14ac:dyDescent="0.2">
      <c r="A24" s="93" t="s">
        <v>38</v>
      </c>
      <c r="B24">
        <v>8</v>
      </c>
      <c r="C24" t="s">
        <v>58</v>
      </c>
      <c r="D24" s="93" t="s">
        <v>455</v>
      </c>
      <c r="E24" t="s">
        <v>378</v>
      </c>
    </row>
    <row r="25" spans="1:5" x14ac:dyDescent="0.2">
      <c r="A25" s="93" t="s">
        <v>38</v>
      </c>
      <c r="B25">
        <v>12</v>
      </c>
      <c r="C25" t="s">
        <v>62</v>
      </c>
      <c r="D25" s="93" t="s">
        <v>455</v>
      </c>
      <c r="E25" t="s">
        <v>379</v>
      </c>
    </row>
    <row r="27" spans="1:5" x14ac:dyDescent="0.2">
      <c r="A27" s="93" t="s">
        <v>454</v>
      </c>
      <c r="B27">
        <v>5</v>
      </c>
      <c r="C27" t="s">
        <v>122</v>
      </c>
    </row>
    <row r="28" spans="1:5" x14ac:dyDescent="0.2">
      <c r="A28" s="93" t="s">
        <v>377</v>
      </c>
      <c r="B28">
        <v>6</v>
      </c>
      <c r="C28" t="s">
        <v>123</v>
      </c>
    </row>
    <row r="29" spans="1:5" x14ac:dyDescent="0.2">
      <c r="A29" s="93" t="s">
        <v>38</v>
      </c>
      <c r="B29">
        <v>9</v>
      </c>
      <c r="C29" t="s">
        <v>59</v>
      </c>
      <c r="D29" s="93" t="s">
        <v>455</v>
      </c>
      <c r="E29" t="s">
        <v>378</v>
      </c>
    </row>
    <row r="31" spans="1:5" x14ac:dyDescent="0.2">
      <c r="A31" s="93" t="s">
        <v>454</v>
      </c>
      <c r="B31">
        <v>6</v>
      </c>
      <c r="C31" t="s">
        <v>123</v>
      </c>
    </row>
    <row r="32" spans="1:5" x14ac:dyDescent="0.2">
      <c r="A32" s="93" t="s">
        <v>377</v>
      </c>
      <c r="B32">
        <v>7</v>
      </c>
      <c r="C32" t="s">
        <v>124</v>
      </c>
    </row>
    <row r="33" spans="1:5" x14ac:dyDescent="0.2">
      <c r="A33" s="93" t="s">
        <v>38</v>
      </c>
      <c r="B33">
        <v>10</v>
      </c>
      <c r="C33" t="s">
        <v>60</v>
      </c>
      <c r="D33" s="93" t="s">
        <v>455</v>
      </c>
      <c r="E33" t="s">
        <v>378</v>
      </c>
    </row>
    <row r="34" spans="1:5" x14ac:dyDescent="0.2">
      <c r="A34" s="93" t="s">
        <v>38</v>
      </c>
      <c r="B34">
        <v>13</v>
      </c>
      <c r="C34" t="s">
        <v>63</v>
      </c>
      <c r="D34" s="93" t="s">
        <v>455</v>
      </c>
      <c r="E34" t="s">
        <v>379</v>
      </c>
    </row>
    <row r="36" spans="1:5" x14ac:dyDescent="0.2">
      <c r="A36" s="93" t="s">
        <v>454</v>
      </c>
      <c r="B36">
        <v>7</v>
      </c>
      <c r="C36" t="s">
        <v>124</v>
      </c>
    </row>
    <row r="37" spans="1:5" x14ac:dyDescent="0.2">
      <c r="A37" s="93" t="s">
        <v>377</v>
      </c>
      <c r="B37">
        <v>0</v>
      </c>
      <c r="C37" t="s">
        <v>380</v>
      </c>
    </row>
    <row r="38" spans="1:5" x14ac:dyDescent="0.2">
      <c r="A38" s="93" t="s">
        <v>38</v>
      </c>
      <c r="B38">
        <v>1</v>
      </c>
      <c r="C38" t="s">
        <v>51</v>
      </c>
      <c r="D38" s="93" t="s">
        <v>455</v>
      </c>
      <c r="E38" t="s">
        <v>381</v>
      </c>
    </row>
  </sheetData>
  <phoneticPr fontId="10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602F-B09A-44CD-8384-6B914DE93892}">
  <sheetPr codeName="Sheet5"/>
  <dimension ref="A1"/>
  <sheetViews>
    <sheetView workbookViewId="0">
      <selection activeCell="M15" sqref="M15"/>
    </sheetView>
  </sheetViews>
  <sheetFormatPr defaultRowHeight="12.75" x14ac:dyDescent="0.2"/>
  <sheetData/>
  <phoneticPr fontId="10" type="noConversion"/>
  <pageMargins left="0.75" right="0.75" top="1" bottom="1" header="0.5" footer="0.5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4FA2-C7C6-4561-B57A-1E645C6F51FA}">
  <sheetPr codeName="Sheet24"/>
  <dimension ref="A1:E14"/>
  <sheetViews>
    <sheetView workbookViewId="0">
      <selection activeCell="G7" sqref="G7"/>
    </sheetView>
  </sheetViews>
  <sheetFormatPr defaultRowHeight="12.75" x14ac:dyDescent="0.2"/>
  <cols>
    <col min="1" max="1" width="22.5703125" customWidth="1"/>
  </cols>
  <sheetData>
    <row r="1" spans="1:5" x14ac:dyDescent="0.2">
      <c r="A1" s="9" t="s">
        <v>50</v>
      </c>
      <c r="B1" s="9"/>
    </row>
    <row r="2" spans="1:5" x14ac:dyDescent="0.2">
      <c r="A2" s="9" t="s">
        <v>194</v>
      </c>
      <c r="B2" s="9" t="s">
        <v>624</v>
      </c>
    </row>
    <row r="3" spans="1:5" x14ac:dyDescent="0.2">
      <c r="A3" s="9" t="s">
        <v>39</v>
      </c>
      <c r="B3" s="9" t="s">
        <v>11</v>
      </c>
      <c r="E3" s="75"/>
    </row>
    <row r="4" spans="1:5" x14ac:dyDescent="0.2">
      <c r="A4" s="9"/>
      <c r="B4" s="9"/>
      <c r="E4" s="75"/>
    </row>
    <row r="5" spans="1:5" x14ac:dyDescent="0.2">
      <c r="A5" s="9"/>
      <c r="B5" s="71" t="s">
        <v>90</v>
      </c>
      <c r="C5" s="71"/>
      <c r="D5" s="71" t="s">
        <v>214</v>
      </c>
      <c r="E5" s="75"/>
    </row>
    <row r="6" spans="1:5" x14ac:dyDescent="0.2">
      <c r="A6" s="74" t="s">
        <v>142</v>
      </c>
      <c r="B6" s="75" t="s">
        <v>183</v>
      </c>
      <c r="C6" s="75" t="s">
        <v>106</v>
      </c>
      <c r="D6" s="75" t="s">
        <v>183</v>
      </c>
      <c r="E6" s="75" t="s">
        <v>106</v>
      </c>
    </row>
    <row r="7" spans="1:5" x14ac:dyDescent="0.2">
      <c r="A7" t="s">
        <v>118</v>
      </c>
      <c r="B7" s="68">
        <v>79.176589965820313</v>
      </c>
      <c r="C7" s="83">
        <v>0.2080319303842553</v>
      </c>
      <c r="D7" s="68">
        <v>93.510955810546875</v>
      </c>
      <c r="E7" s="83">
        <v>0.12864220142364502</v>
      </c>
    </row>
    <row r="8" spans="1:5" x14ac:dyDescent="0.2">
      <c r="A8" t="s">
        <v>119</v>
      </c>
      <c r="B8" s="68">
        <v>2.1076722145080566</v>
      </c>
      <c r="C8" s="83">
        <v>1.6489865346006407</v>
      </c>
    </row>
    <row r="9" spans="1:5" x14ac:dyDescent="0.2">
      <c r="A9" t="s">
        <v>120</v>
      </c>
      <c r="B9" s="68">
        <v>1.1877990961074829</v>
      </c>
      <c r="C9" s="83">
        <v>1.6266048175316052</v>
      </c>
      <c r="D9" s="68">
        <v>2.5120608508586884E-2</v>
      </c>
      <c r="E9" s="83">
        <v>3.0910048484802246</v>
      </c>
    </row>
    <row r="10" spans="1:5" x14ac:dyDescent="0.2">
      <c r="A10" t="s">
        <v>121</v>
      </c>
      <c r="B10" s="68">
        <v>17.563745498657227</v>
      </c>
      <c r="C10" s="83">
        <v>1.272783641807286</v>
      </c>
      <c r="D10" s="68">
        <v>48.546840667724609</v>
      </c>
      <c r="E10" s="83">
        <v>0.69809103012084961</v>
      </c>
    </row>
    <row r="11" spans="1:5" x14ac:dyDescent="0.2">
      <c r="A11" t="s">
        <v>122</v>
      </c>
      <c r="B11" s="68">
        <v>2.1752843856811523</v>
      </c>
      <c r="C11" s="83">
        <v>1.3805282898132873</v>
      </c>
      <c r="D11" s="68">
        <v>2.5128943920135498</v>
      </c>
      <c r="E11" s="83">
        <v>2.3710143566131592</v>
      </c>
    </row>
    <row r="12" spans="1:5" x14ac:dyDescent="0.2">
      <c r="A12" t="s">
        <v>123</v>
      </c>
      <c r="B12" s="68">
        <v>2.1641764640808105</v>
      </c>
      <c r="C12" s="83">
        <v>1.4136353353531239</v>
      </c>
      <c r="D12" s="68">
        <v>4.9197859764099121</v>
      </c>
      <c r="E12" s="83">
        <v>1.504502534866333</v>
      </c>
    </row>
    <row r="13" spans="1:5" x14ac:dyDescent="0.2">
      <c r="A13" t="s">
        <v>124</v>
      </c>
      <c r="B13" s="68">
        <v>0.83860892057418823</v>
      </c>
      <c r="C13" s="83">
        <v>1.6800913422274355</v>
      </c>
      <c r="D13" s="68">
        <v>0.10537977516651154</v>
      </c>
      <c r="E13" s="83">
        <v>3.2651224136352539</v>
      </c>
    </row>
    <row r="14" spans="1:5" x14ac:dyDescent="0.2">
      <c r="A14" t="s">
        <v>399</v>
      </c>
      <c r="B14" s="68">
        <v>8.9337482452392578</v>
      </c>
      <c r="C14" s="83">
        <v>0.4372557880260326</v>
      </c>
      <c r="D14" s="68">
        <v>15.830733299255371</v>
      </c>
      <c r="E14" s="83">
        <v>0.26165056228637695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BEB82-18D1-4759-9AAC-16EB8C20C060}">
  <sheetPr codeName="Sheet19"/>
  <dimension ref="A1"/>
  <sheetViews>
    <sheetView workbookViewId="0">
      <selection activeCell="P49" sqref="P49"/>
    </sheetView>
  </sheetViews>
  <sheetFormatPr defaultRowHeight="12.75" x14ac:dyDescent="0.2"/>
  <sheetData/>
  <phoneticPr fontId="10" type="noConversion"/>
  <pageMargins left="0.75" right="0.75" top="1" bottom="1" header="0.5" footer="0.5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66FC-109B-4158-807A-1C18E9CC9B94}">
  <sheetPr codeName="Sheet25"/>
  <dimension ref="A1:I43"/>
  <sheetViews>
    <sheetView workbookViewId="0"/>
  </sheetViews>
  <sheetFormatPr defaultRowHeight="12.75" x14ac:dyDescent="0.2"/>
  <cols>
    <col min="1" max="1" width="11.42578125" customWidth="1"/>
    <col min="2" max="3" width="11.5703125" customWidth="1"/>
    <col min="4" max="8" width="9.5703125" customWidth="1"/>
  </cols>
  <sheetData>
    <row r="1" spans="1:8" x14ac:dyDescent="0.2">
      <c r="A1" s="9" t="s">
        <v>50</v>
      </c>
      <c r="B1" s="9"/>
    </row>
    <row r="2" spans="1:8" x14ac:dyDescent="0.2">
      <c r="A2" s="9" t="s">
        <v>194</v>
      </c>
      <c r="B2" s="9" t="s">
        <v>37</v>
      </c>
    </row>
    <row r="3" spans="1:8" x14ac:dyDescent="0.2">
      <c r="A3" s="9" t="s">
        <v>36</v>
      </c>
      <c r="B3" s="9"/>
      <c r="C3" s="9"/>
      <c r="D3" s="9"/>
      <c r="E3" s="9"/>
      <c r="F3" s="9"/>
      <c r="G3" s="9"/>
    </row>
    <row r="4" spans="1:8" x14ac:dyDescent="0.2">
      <c r="A4" s="9" t="s">
        <v>38</v>
      </c>
      <c r="B4" s="9" t="s">
        <v>439</v>
      </c>
      <c r="C4" s="9"/>
      <c r="D4" s="9"/>
      <c r="E4" s="9"/>
      <c r="F4" s="9"/>
      <c r="G4" s="9"/>
    </row>
    <row r="5" spans="1:8" x14ac:dyDescent="0.2">
      <c r="A5" s="19" t="s">
        <v>84</v>
      </c>
      <c r="B5" s="70" t="s">
        <v>399</v>
      </c>
      <c r="C5" s="9"/>
      <c r="D5" s="9"/>
      <c r="E5" s="9"/>
      <c r="F5" s="9"/>
      <c r="G5" s="9"/>
    </row>
    <row r="6" spans="1:8" x14ac:dyDescent="0.2">
      <c r="A6" s="9" t="s">
        <v>39</v>
      </c>
      <c r="B6" s="9" t="s">
        <v>4</v>
      </c>
      <c r="C6" s="9"/>
      <c r="D6" s="9"/>
      <c r="E6" s="9"/>
      <c r="F6" s="9"/>
      <c r="G6" s="9"/>
    </row>
    <row r="7" spans="1:8" x14ac:dyDescent="0.2">
      <c r="A7" s="9"/>
      <c r="B7" s="9"/>
      <c r="C7" s="9"/>
      <c r="D7" s="9"/>
      <c r="E7" s="9"/>
      <c r="F7" s="9"/>
      <c r="G7" s="9"/>
    </row>
    <row r="8" spans="1:8" x14ac:dyDescent="0.2">
      <c r="A8" s="71" t="s">
        <v>168</v>
      </c>
      <c r="B8" s="71" t="s">
        <v>161</v>
      </c>
      <c r="C8" s="71" t="s">
        <v>85</v>
      </c>
      <c r="D8" s="71" t="s">
        <v>164</v>
      </c>
      <c r="E8" s="70" t="s">
        <v>483</v>
      </c>
      <c r="G8" s="9"/>
      <c r="H8" s="9"/>
    </row>
    <row r="9" spans="1:8" x14ac:dyDescent="0.2">
      <c r="A9" s="75" t="s">
        <v>97</v>
      </c>
      <c r="B9" s="75" t="s">
        <v>166</v>
      </c>
      <c r="C9" s="75" t="s">
        <v>163</v>
      </c>
      <c r="D9" s="75" t="s">
        <v>167</v>
      </c>
      <c r="E9" s="75" t="s">
        <v>183</v>
      </c>
      <c r="F9" s="75" t="s">
        <v>184</v>
      </c>
      <c r="G9" s="75" t="s">
        <v>40</v>
      </c>
      <c r="H9" s="75" t="s">
        <v>41</v>
      </c>
    </row>
    <row r="10" spans="1:8" x14ac:dyDescent="0.2">
      <c r="A10" s="147" t="s">
        <v>64</v>
      </c>
      <c r="B10" s="68">
        <v>21208</v>
      </c>
      <c r="C10" s="68">
        <v>6132911</v>
      </c>
      <c r="D10" s="68">
        <v>289.17913818359375</v>
      </c>
      <c r="E10" s="68">
        <v>9.6493005752563477</v>
      </c>
      <c r="F10" s="83">
        <v>0.29414138197898865</v>
      </c>
      <c r="G10" s="68">
        <v>7.4561409950256348</v>
      </c>
      <c r="H10" s="68">
        <v>12.48755931854248</v>
      </c>
    </row>
    <row r="11" spans="1:8" x14ac:dyDescent="0.2">
      <c r="A11" s="83">
        <v>0.20000000298023224</v>
      </c>
      <c r="B11" s="68">
        <v>21208</v>
      </c>
      <c r="C11" s="68">
        <v>1226582.25</v>
      </c>
      <c r="D11" s="68">
        <v>57.835826873779297</v>
      </c>
      <c r="E11" s="68">
        <v>6.759376049041748</v>
      </c>
      <c r="F11" s="83">
        <v>0.29360374808311462</v>
      </c>
      <c r="G11" s="68">
        <v>5.2252292633056641</v>
      </c>
      <c r="H11" s="68">
        <v>8.7439546585083008</v>
      </c>
    </row>
    <row r="12" spans="1:8" x14ac:dyDescent="0.2">
      <c r="A12" s="83">
        <v>0.40000000596046448</v>
      </c>
      <c r="B12" s="68">
        <v>21208</v>
      </c>
      <c r="C12" s="68">
        <v>2453164.5</v>
      </c>
      <c r="D12" s="68">
        <v>115.67165374755859</v>
      </c>
      <c r="E12" s="68">
        <v>8.508030891418457</v>
      </c>
      <c r="F12" s="83">
        <v>0.29300105571746826</v>
      </c>
      <c r="G12" s="68">
        <v>6.5800647735595703</v>
      </c>
      <c r="H12" s="68">
        <v>11.000892639160156</v>
      </c>
    </row>
    <row r="13" spans="1:8" x14ac:dyDescent="0.2">
      <c r="A13" s="83">
        <v>0.60000002384185791</v>
      </c>
      <c r="B13" s="68">
        <v>21208</v>
      </c>
      <c r="C13" s="68">
        <v>3679746.5</v>
      </c>
      <c r="D13" s="68">
        <v>173.50747680664063</v>
      </c>
      <c r="E13" s="68">
        <v>9.1582183837890625</v>
      </c>
      <c r="F13" s="83">
        <v>0.29341709613800049</v>
      </c>
      <c r="G13" s="68">
        <v>7.0806379318237305</v>
      </c>
      <c r="H13" s="68">
        <v>11.845396041870117</v>
      </c>
    </row>
    <row r="14" spans="1:8" x14ac:dyDescent="0.2">
      <c r="A14" s="83">
        <v>0.80000001192092896</v>
      </c>
      <c r="B14" s="68">
        <v>21208</v>
      </c>
      <c r="C14" s="68">
        <v>4906329</v>
      </c>
      <c r="D14" s="68">
        <v>231.34330749511719</v>
      </c>
      <c r="E14" s="68">
        <v>9.4716606140136719</v>
      </c>
      <c r="F14" s="83">
        <v>0.29383054375648499</v>
      </c>
      <c r="G14" s="68">
        <v>7.3206343650817871</v>
      </c>
      <c r="H14" s="68">
        <v>12.25472354888916</v>
      </c>
    </row>
    <row r="15" spans="1:8" x14ac:dyDescent="0.2">
      <c r="A15" s="83">
        <v>1</v>
      </c>
      <c r="B15" s="68">
        <v>21208</v>
      </c>
      <c r="C15" s="68">
        <v>6132911</v>
      </c>
      <c r="D15" s="68">
        <v>289.17913818359375</v>
      </c>
      <c r="E15" s="68">
        <v>9.6493005752563477</v>
      </c>
      <c r="F15" s="83">
        <v>0.29414138197898865</v>
      </c>
      <c r="G15" s="68">
        <v>7.4561409950256348</v>
      </c>
      <c r="H15" s="68">
        <v>12.48755931854248</v>
      </c>
    </row>
    <row r="16" spans="1:8" x14ac:dyDescent="0.2">
      <c r="A16" s="83">
        <v>1.2000000476837158</v>
      </c>
      <c r="B16" s="68">
        <v>21208</v>
      </c>
      <c r="C16" s="68">
        <v>7359493</v>
      </c>
      <c r="D16" s="68">
        <v>347.01495361328125</v>
      </c>
      <c r="E16" s="68">
        <v>9.7613468170166016</v>
      </c>
      <c r="F16" s="83">
        <v>0.29436829686164856</v>
      </c>
      <c r="G16" s="68">
        <v>7.5413980484008789</v>
      </c>
      <c r="H16" s="68">
        <v>12.634778022766113</v>
      </c>
    </row>
    <row r="17" spans="1:8" x14ac:dyDescent="0.2">
      <c r="A17" s="83">
        <v>1.3999999761581421</v>
      </c>
      <c r="B17" s="68">
        <v>21208</v>
      </c>
      <c r="C17" s="68">
        <v>8586075</v>
      </c>
      <c r="D17" s="68">
        <v>404.85076904296875</v>
      </c>
      <c r="E17" s="68">
        <v>9.8375234603881836</v>
      </c>
      <c r="F17" s="83">
        <v>0.2945391833782196</v>
      </c>
      <c r="G17" s="68">
        <v>7.5992474555969238</v>
      </c>
      <c r="H17" s="68">
        <v>12.73505973815918</v>
      </c>
    </row>
    <row r="18" spans="1:8" x14ac:dyDescent="0.2">
      <c r="A18" s="83">
        <v>1.6000000238418579</v>
      </c>
      <c r="B18" s="68">
        <v>21208</v>
      </c>
      <c r="C18" s="68">
        <v>9812658</v>
      </c>
      <c r="D18" s="68">
        <v>462.68661499023438</v>
      </c>
      <c r="E18" s="68">
        <v>9.8922462463378906</v>
      </c>
      <c r="F18" s="83">
        <v>0.29466786980628967</v>
      </c>
      <c r="G18" s="68">
        <v>7.6407599449157715</v>
      </c>
      <c r="H18" s="68">
        <v>12.807173728942871</v>
      </c>
    </row>
    <row r="19" spans="1:8" x14ac:dyDescent="0.2">
      <c r="A19" s="83">
        <v>1.8000000715255737</v>
      </c>
      <c r="B19" s="68">
        <v>21208</v>
      </c>
      <c r="C19" s="68">
        <v>11039240</v>
      </c>
      <c r="D19" s="68">
        <v>520.5224609375</v>
      </c>
      <c r="E19" s="68">
        <v>9.9332437515258789</v>
      </c>
      <c r="F19" s="83">
        <v>0.2947709858417511</v>
      </c>
      <c r="G19" s="68">
        <v>7.6718153953552246</v>
      </c>
      <c r="H19" s="68">
        <v>12.861275672912598</v>
      </c>
    </row>
    <row r="20" spans="1:8" x14ac:dyDescent="0.2">
      <c r="A20" s="83">
        <v>2</v>
      </c>
      <c r="B20" s="68">
        <v>21208</v>
      </c>
      <c r="C20" s="68">
        <v>12265822</v>
      </c>
      <c r="D20" s="68">
        <v>578.3582763671875</v>
      </c>
      <c r="E20" s="68">
        <v>9.9649896621704102</v>
      </c>
      <c r="F20" s="83">
        <v>0.29485112428665161</v>
      </c>
      <c r="G20" s="68">
        <v>7.6958575248718262</v>
      </c>
      <c r="H20" s="68">
        <v>12.903178215026855</v>
      </c>
    </row>
    <row r="43" spans="9:9" x14ac:dyDescent="0.2">
      <c r="I43" t="s">
        <v>83</v>
      </c>
    </row>
  </sheetData>
  <phoneticPr fontId="10" type="noConversion"/>
  <pageMargins left="0.75" right="0.75" top="1" bottom="1" header="0.5" footer="0.5"/>
  <pageSetup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8EF1-6763-4ACA-905A-B7669C6CA701}">
  <sheetPr codeName="Sheet10"/>
  <dimension ref="A1:AP234"/>
  <sheetViews>
    <sheetView showGridLines="0" topLeftCell="A168" workbookViewId="0">
      <selection activeCell="A202" sqref="A202"/>
    </sheetView>
  </sheetViews>
  <sheetFormatPr defaultColWidth="12.42578125" defaultRowHeight="12.75" x14ac:dyDescent="0.2"/>
  <sheetData>
    <row r="1" spans="1:11" x14ac:dyDescent="0.2">
      <c r="A1" s="19" t="s">
        <v>127</v>
      </c>
      <c r="B1" s="9"/>
      <c r="D1" s="9"/>
      <c r="E1" s="9"/>
      <c r="F1" s="9"/>
      <c r="G1" s="9"/>
      <c r="H1" s="9"/>
      <c r="I1" s="9"/>
    </row>
    <row r="2" spans="1:11" x14ac:dyDescent="0.2">
      <c r="A2" s="9"/>
      <c r="B2" s="9"/>
      <c r="D2" s="9"/>
      <c r="E2" s="9"/>
      <c r="F2" s="9"/>
      <c r="G2" s="9"/>
      <c r="H2" s="9"/>
      <c r="I2" s="9"/>
    </row>
    <row r="3" spans="1:11" x14ac:dyDescent="0.2">
      <c r="A3" s="19" t="s">
        <v>128</v>
      </c>
      <c r="B3" s="9"/>
      <c r="D3" s="9"/>
      <c r="E3" s="9"/>
      <c r="F3" s="9"/>
      <c r="G3" s="71" t="s">
        <v>615</v>
      </c>
      <c r="H3" s="179"/>
      <c r="I3" s="9" t="s">
        <v>155</v>
      </c>
    </row>
    <row r="4" spans="1:11" x14ac:dyDescent="0.2">
      <c r="A4" s="9"/>
      <c r="B4" s="9"/>
      <c r="D4" s="9"/>
      <c r="E4" s="71" t="s">
        <v>77</v>
      </c>
      <c r="F4" s="71" t="s">
        <v>161</v>
      </c>
      <c r="G4" s="71" t="s">
        <v>78</v>
      </c>
      <c r="H4" s="71" t="s">
        <v>184</v>
      </c>
      <c r="I4" s="71" t="s">
        <v>79</v>
      </c>
    </row>
    <row r="5" spans="1:11" ht="14.25" x14ac:dyDescent="0.2">
      <c r="A5" s="74" t="s">
        <v>521</v>
      </c>
      <c r="B5" s="73" t="s">
        <v>159</v>
      </c>
      <c r="C5" s="73" t="s">
        <v>251</v>
      </c>
      <c r="D5" s="74" t="s">
        <v>143</v>
      </c>
      <c r="E5" s="76" t="s">
        <v>81</v>
      </c>
      <c r="F5" s="76" t="s">
        <v>185</v>
      </c>
      <c r="G5" s="76" t="s">
        <v>82</v>
      </c>
      <c r="H5" s="75" t="s">
        <v>80</v>
      </c>
      <c r="I5" s="75" t="s">
        <v>154</v>
      </c>
    </row>
    <row r="9" spans="1:11" x14ac:dyDescent="0.2">
      <c r="A9" s="19" t="s">
        <v>135</v>
      </c>
      <c r="B9" s="9"/>
      <c r="D9" s="9"/>
      <c r="E9" s="9"/>
      <c r="F9" s="71"/>
      <c r="G9" s="19" t="s">
        <v>129</v>
      </c>
      <c r="H9" s="9"/>
      <c r="I9" s="9"/>
      <c r="J9" s="9"/>
      <c r="K9" s="9"/>
    </row>
    <row r="10" spans="1:11" x14ac:dyDescent="0.2">
      <c r="A10" s="9" t="s">
        <v>162</v>
      </c>
      <c r="B10" s="9"/>
      <c r="D10" s="9"/>
      <c r="E10" s="9"/>
      <c r="F10" s="9"/>
      <c r="G10" s="9"/>
      <c r="H10" s="9"/>
      <c r="I10" s="9"/>
      <c r="J10" s="9"/>
      <c r="K10" s="9"/>
    </row>
    <row r="11" spans="1:11" x14ac:dyDescent="0.2">
      <c r="A11" s="9"/>
      <c r="B11" s="9"/>
      <c r="D11" s="9"/>
      <c r="E11" s="71" t="s">
        <v>85</v>
      </c>
      <c r="F11" s="71"/>
      <c r="G11" s="70" t="s">
        <v>190</v>
      </c>
      <c r="H11" s="71"/>
      <c r="I11" s="71"/>
      <c r="J11" s="71" t="s">
        <v>164</v>
      </c>
      <c r="K11" s="71" t="s">
        <v>165</v>
      </c>
    </row>
    <row r="12" spans="1:11" ht="14.25" x14ac:dyDescent="0.2">
      <c r="A12" s="74" t="s">
        <v>521</v>
      </c>
      <c r="B12" s="73" t="s">
        <v>159</v>
      </c>
      <c r="C12" s="73" t="s">
        <v>251</v>
      </c>
      <c r="D12" s="74" t="s">
        <v>143</v>
      </c>
      <c r="E12" s="75" t="s">
        <v>163</v>
      </c>
      <c r="F12" s="76" t="s">
        <v>193</v>
      </c>
      <c r="G12" s="76" t="s">
        <v>187</v>
      </c>
      <c r="H12" s="76" t="s">
        <v>193</v>
      </c>
      <c r="I12" s="75" t="s">
        <v>184</v>
      </c>
      <c r="J12" s="76" t="s">
        <v>189</v>
      </c>
      <c r="K12" s="76" t="s">
        <v>188</v>
      </c>
    </row>
    <row r="18" spans="1:10" x14ac:dyDescent="0.2">
      <c r="A18" s="19" t="s">
        <v>250</v>
      </c>
      <c r="B18" s="9"/>
      <c r="C18" s="9"/>
      <c r="D18" s="9"/>
      <c r="E18" s="71" t="s">
        <v>615</v>
      </c>
      <c r="F18" s="178"/>
      <c r="G18" s="9" t="s">
        <v>616</v>
      </c>
      <c r="H18" s="9"/>
      <c r="I18" s="9"/>
      <c r="J18" s="9"/>
    </row>
    <row r="19" spans="1:10" x14ac:dyDescent="0.2">
      <c r="A19" s="9"/>
      <c r="B19" s="9"/>
      <c r="C19" s="9"/>
      <c r="D19" s="71" t="s">
        <v>247</v>
      </c>
      <c r="E19" s="71"/>
      <c r="F19" s="71" t="s">
        <v>248</v>
      </c>
      <c r="G19" s="19" t="s">
        <v>47</v>
      </c>
      <c r="H19" s="71"/>
      <c r="I19" s="71" t="s">
        <v>249</v>
      </c>
      <c r="J19" s="71"/>
    </row>
    <row r="20" spans="1:10" x14ac:dyDescent="0.2">
      <c r="A20" s="73" t="s">
        <v>251</v>
      </c>
      <c r="B20" s="74" t="s">
        <v>143</v>
      </c>
      <c r="C20" s="74" t="s">
        <v>242</v>
      </c>
      <c r="D20" s="75" t="s">
        <v>243</v>
      </c>
      <c r="E20" s="75" t="s">
        <v>244</v>
      </c>
      <c r="F20" s="75" t="s">
        <v>245</v>
      </c>
      <c r="G20" s="75" t="s">
        <v>244</v>
      </c>
      <c r="H20" s="76" t="s">
        <v>27</v>
      </c>
      <c r="I20" s="75" t="s">
        <v>153</v>
      </c>
      <c r="J20" s="75" t="s">
        <v>246</v>
      </c>
    </row>
    <row r="25" spans="1:10" x14ac:dyDescent="0.2">
      <c r="A25" s="19" t="s">
        <v>130</v>
      </c>
      <c r="B25" s="9"/>
      <c r="C25" s="9"/>
      <c r="D25" s="9"/>
      <c r="E25" s="19" t="s">
        <v>131</v>
      </c>
      <c r="F25" s="71"/>
      <c r="H25" s="71" t="s">
        <v>162</v>
      </c>
      <c r="I25" s="9"/>
      <c r="J25" s="9"/>
    </row>
    <row r="26" spans="1:10" x14ac:dyDescent="0.2">
      <c r="A26" s="9"/>
      <c r="B26" s="9"/>
      <c r="C26" s="89" t="s">
        <v>192</v>
      </c>
      <c r="E26" s="71"/>
      <c r="F26" s="71" t="s">
        <v>248</v>
      </c>
      <c r="G26" s="19" t="s">
        <v>48</v>
      </c>
      <c r="H26" s="71"/>
      <c r="I26" s="71" t="s">
        <v>145</v>
      </c>
      <c r="J26" s="71" t="s">
        <v>145</v>
      </c>
    </row>
    <row r="27" spans="1:10" x14ac:dyDescent="0.2">
      <c r="A27" s="73" t="s">
        <v>251</v>
      </c>
      <c r="B27" s="74" t="s">
        <v>143</v>
      </c>
      <c r="C27" s="75" t="s">
        <v>242</v>
      </c>
      <c r="D27" s="75" t="s">
        <v>252</v>
      </c>
      <c r="E27" s="75" t="s">
        <v>244</v>
      </c>
      <c r="F27" s="75" t="s">
        <v>245</v>
      </c>
      <c r="G27" s="75" t="s">
        <v>244</v>
      </c>
      <c r="H27" s="75" t="s">
        <v>27</v>
      </c>
      <c r="I27" s="75" t="s">
        <v>153</v>
      </c>
      <c r="J27" s="75" t="s">
        <v>253</v>
      </c>
    </row>
    <row r="31" spans="1:10" x14ac:dyDescent="0.2">
      <c r="A31" t="s">
        <v>83</v>
      </c>
    </row>
    <row r="33" spans="1:8" x14ac:dyDescent="0.2">
      <c r="A33" s="9" t="s">
        <v>162</v>
      </c>
      <c r="B33" s="9"/>
      <c r="C33" s="9"/>
      <c r="D33" s="9"/>
      <c r="E33" s="89" t="s">
        <v>520</v>
      </c>
      <c r="F33" s="9"/>
      <c r="G33" s="9"/>
      <c r="H33" s="9"/>
    </row>
    <row r="34" spans="1:8" x14ac:dyDescent="0.2">
      <c r="A34" s="9"/>
      <c r="B34" s="9"/>
      <c r="C34" s="9"/>
      <c r="D34" s="71" t="s">
        <v>161</v>
      </c>
      <c r="E34" s="71" t="s">
        <v>161</v>
      </c>
      <c r="F34" s="71" t="s">
        <v>85</v>
      </c>
      <c r="G34" s="71" t="s">
        <v>85</v>
      </c>
      <c r="H34" s="71" t="s">
        <v>164</v>
      </c>
    </row>
    <row r="35" spans="1:8" ht="14.25" x14ac:dyDescent="0.2">
      <c r="A35" s="73" t="s">
        <v>86</v>
      </c>
      <c r="B35" s="73" t="s">
        <v>159</v>
      </c>
      <c r="C35" s="74" t="s">
        <v>160</v>
      </c>
      <c r="D35" s="76" t="s">
        <v>185</v>
      </c>
      <c r="E35" s="75" t="s">
        <v>193</v>
      </c>
      <c r="F35" s="75" t="s">
        <v>163</v>
      </c>
      <c r="G35" s="75" t="s">
        <v>193</v>
      </c>
      <c r="H35" s="76" t="s">
        <v>189</v>
      </c>
    </row>
    <row r="44" spans="1:8" x14ac:dyDescent="0.2">
      <c r="A44" s="9" t="s">
        <v>87</v>
      </c>
    </row>
    <row r="45" spans="1:8" x14ac:dyDescent="0.2">
      <c r="A45" s="9" t="s">
        <v>88</v>
      </c>
    </row>
    <row r="46" spans="1:8" x14ac:dyDescent="0.2">
      <c r="A46" s="19" t="s">
        <v>32</v>
      </c>
    </row>
    <row r="47" spans="1:8" x14ac:dyDescent="0.2">
      <c r="A47" s="9" t="s">
        <v>89</v>
      </c>
    </row>
    <row r="51" spans="1:9" x14ac:dyDescent="0.2">
      <c r="A51" s="9" t="s">
        <v>84</v>
      </c>
      <c r="B51" s="9"/>
      <c r="C51" s="9"/>
      <c r="D51" s="9"/>
      <c r="E51" s="9"/>
      <c r="F51" s="9"/>
      <c r="G51" s="9"/>
      <c r="H51" s="9"/>
      <c r="I51" s="9"/>
    </row>
    <row r="52" spans="1:9" x14ac:dyDescent="0.2">
      <c r="A52" s="9"/>
      <c r="B52" s="19" t="s">
        <v>132</v>
      </c>
      <c r="C52" s="9"/>
      <c r="D52" s="19" t="s">
        <v>133</v>
      </c>
      <c r="E52" s="9"/>
      <c r="F52" s="19" t="s">
        <v>134</v>
      </c>
      <c r="G52" s="19" t="s">
        <v>191</v>
      </c>
      <c r="H52" s="9"/>
      <c r="I52" s="9"/>
    </row>
    <row r="53" spans="1:9" x14ac:dyDescent="0.2">
      <c r="A53" s="74" t="s">
        <v>91</v>
      </c>
      <c r="B53" s="75" t="s">
        <v>183</v>
      </c>
      <c r="C53" s="75" t="s">
        <v>184</v>
      </c>
      <c r="D53" s="75" t="s">
        <v>183</v>
      </c>
      <c r="E53" s="75" t="s">
        <v>184</v>
      </c>
      <c r="F53" s="75" t="s">
        <v>92</v>
      </c>
      <c r="G53" s="75" t="s">
        <v>93</v>
      </c>
      <c r="H53" s="75" t="s">
        <v>94</v>
      </c>
      <c r="I53" s="75" t="s">
        <v>95</v>
      </c>
    </row>
    <row r="61" spans="1:9" x14ac:dyDescent="0.2">
      <c r="A61" s="9" t="s">
        <v>84</v>
      </c>
      <c r="B61" s="9"/>
      <c r="C61" s="9"/>
      <c r="D61" s="9"/>
      <c r="E61" s="9"/>
    </row>
    <row r="62" spans="1:9" x14ac:dyDescent="0.2">
      <c r="A62" s="9"/>
      <c r="B62" s="19" t="s">
        <v>107</v>
      </c>
      <c r="C62" s="9"/>
      <c r="D62" s="19"/>
      <c r="E62" s="19" t="s">
        <v>108</v>
      </c>
    </row>
    <row r="63" spans="1:9" x14ac:dyDescent="0.2">
      <c r="A63" s="74" t="s">
        <v>91</v>
      </c>
      <c r="B63" s="75" t="s">
        <v>183</v>
      </c>
      <c r="C63" s="75" t="s">
        <v>184</v>
      </c>
      <c r="D63" s="75" t="s">
        <v>424</v>
      </c>
      <c r="E63" s="75" t="s">
        <v>183</v>
      </c>
      <c r="F63" s="75" t="s">
        <v>184</v>
      </c>
      <c r="G63" s="75" t="s">
        <v>424</v>
      </c>
    </row>
    <row r="68" spans="1:12" x14ac:dyDescent="0.2">
      <c r="A68" s="9" t="s">
        <v>96</v>
      </c>
      <c r="B68" s="9"/>
      <c r="C68" s="9"/>
      <c r="D68" s="9"/>
      <c r="E68" s="9"/>
    </row>
    <row r="69" spans="1:12" x14ac:dyDescent="0.2">
      <c r="A69" s="71" t="s">
        <v>98</v>
      </c>
      <c r="B69" s="71" t="s">
        <v>426</v>
      </c>
      <c r="C69" s="9"/>
      <c r="D69" s="9"/>
      <c r="E69" s="9"/>
    </row>
    <row r="70" spans="1:12" x14ac:dyDescent="0.2">
      <c r="A70" s="75" t="s">
        <v>97</v>
      </c>
      <c r="B70" s="75" t="s">
        <v>97</v>
      </c>
      <c r="C70" s="9"/>
      <c r="D70" s="9"/>
      <c r="E70" s="9"/>
    </row>
    <row r="76" spans="1:12" ht="14.25" x14ac:dyDescent="0.2">
      <c r="A76" s="9" t="s">
        <v>400</v>
      </c>
      <c r="B76" s="9"/>
      <c r="C76" s="9"/>
      <c r="D76" s="89" t="s">
        <v>405</v>
      </c>
      <c r="E76" s="69"/>
      <c r="F76" s="9"/>
      <c r="G76" s="9"/>
      <c r="H76" s="9"/>
      <c r="I76" s="9"/>
      <c r="J76" s="9"/>
      <c r="K76" s="9"/>
      <c r="L76" s="9"/>
    </row>
    <row r="77" spans="1:12" x14ac:dyDescent="0.2">
      <c r="A77" s="9" t="s">
        <v>401</v>
      </c>
      <c r="B77" s="9"/>
      <c r="C77" s="9"/>
      <c r="D77" s="9"/>
      <c r="E77" s="89" t="s">
        <v>438</v>
      </c>
      <c r="F77" s="9"/>
      <c r="G77" s="9"/>
      <c r="H77" s="9"/>
      <c r="I77" s="9"/>
      <c r="J77" s="9"/>
      <c r="K77" s="9"/>
      <c r="L77" s="9"/>
    </row>
    <row r="78" spans="1:12" x14ac:dyDescent="0.2">
      <c r="A78" s="9"/>
      <c r="B78" s="9"/>
      <c r="C78" s="9"/>
      <c r="D78" s="9" t="s">
        <v>402</v>
      </c>
      <c r="E78" s="9"/>
      <c r="F78" s="19" t="s">
        <v>30</v>
      </c>
      <c r="G78" s="9"/>
      <c r="H78" s="19" t="s">
        <v>31</v>
      </c>
      <c r="I78" s="9"/>
      <c r="J78" s="19" t="s">
        <v>29</v>
      </c>
      <c r="K78" s="9"/>
      <c r="L78" s="9"/>
    </row>
    <row r="79" spans="1:12" x14ac:dyDescent="0.2">
      <c r="A79" s="74" t="s">
        <v>251</v>
      </c>
      <c r="B79" s="73" t="s">
        <v>433</v>
      </c>
      <c r="C79" s="74" t="s">
        <v>143</v>
      </c>
      <c r="D79" s="75" t="s">
        <v>183</v>
      </c>
      <c r="E79" s="75" t="s">
        <v>184</v>
      </c>
      <c r="F79" s="75" t="s">
        <v>183</v>
      </c>
      <c r="G79" s="75" t="s">
        <v>184</v>
      </c>
      <c r="H79" s="75" t="s">
        <v>183</v>
      </c>
      <c r="I79" s="75" t="s">
        <v>184</v>
      </c>
      <c r="J79" s="75" t="s">
        <v>183</v>
      </c>
      <c r="K79" s="75" t="s">
        <v>403</v>
      </c>
      <c r="L79" s="75" t="s">
        <v>404</v>
      </c>
    </row>
    <row r="85" spans="1:8" x14ac:dyDescent="0.2">
      <c r="A85" s="9" t="s">
        <v>211</v>
      </c>
      <c r="B85" s="9"/>
      <c r="C85" s="9"/>
      <c r="D85" s="9"/>
      <c r="E85" s="9"/>
      <c r="F85" s="9"/>
      <c r="G85" s="9"/>
    </row>
    <row r="86" spans="1:8" x14ac:dyDescent="0.2">
      <c r="A86" s="74" t="s">
        <v>251</v>
      </c>
      <c r="B86" s="73" t="s">
        <v>433</v>
      </c>
      <c r="C86" s="74" t="s">
        <v>143</v>
      </c>
      <c r="D86" s="75" t="s">
        <v>153</v>
      </c>
      <c r="E86" s="75" t="s">
        <v>178</v>
      </c>
      <c r="F86" s="75" t="s">
        <v>180</v>
      </c>
      <c r="G86" s="75" t="s">
        <v>110</v>
      </c>
    </row>
    <row r="92" spans="1:8" ht="14.25" x14ac:dyDescent="0.2">
      <c r="A92" s="19" t="s">
        <v>49</v>
      </c>
      <c r="B92" s="9"/>
      <c r="C92" s="9"/>
      <c r="D92" s="9"/>
      <c r="E92" s="9"/>
      <c r="F92" s="9" t="s">
        <v>114</v>
      </c>
      <c r="G92" s="9"/>
      <c r="H92" s="9"/>
    </row>
    <row r="93" spans="1:8" x14ac:dyDescent="0.2">
      <c r="A93" s="74" t="s">
        <v>142</v>
      </c>
      <c r="B93" s="74" t="s">
        <v>144</v>
      </c>
      <c r="C93" s="74" t="s">
        <v>143</v>
      </c>
      <c r="D93" s="74" t="s">
        <v>111</v>
      </c>
      <c r="E93" s="74" t="s">
        <v>112</v>
      </c>
      <c r="F93" s="74" t="s">
        <v>214</v>
      </c>
      <c r="G93" s="74" t="s">
        <v>151</v>
      </c>
      <c r="H93" s="74" t="s">
        <v>113</v>
      </c>
    </row>
    <row r="100" spans="1:10" x14ac:dyDescent="0.2">
      <c r="A100" s="9" t="s">
        <v>136</v>
      </c>
      <c r="B100" s="9"/>
      <c r="C100" s="9"/>
      <c r="D100" s="9"/>
      <c r="E100" s="9"/>
      <c r="F100" s="9"/>
      <c r="G100" s="9"/>
      <c r="H100" s="9"/>
      <c r="I100" s="9"/>
    </row>
    <row r="101" spans="1:10" ht="14.25" x14ac:dyDescent="0.2">
      <c r="A101" s="9"/>
      <c r="B101" s="9"/>
      <c r="C101" s="19" t="s">
        <v>141</v>
      </c>
      <c r="D101" s="9"/>
      <c r="E101" s="9"/>
      <c r="F101" s="9" t="s">
        <v>140</v>
      </c>
      <c r="G101" s="9"/>
      <c r="H101" s="9"/>
      <c r="I101" s="9"/>
    </row>
    <row r="102" spans="1:10" x14ac:dyDescent="0.2">
      <c r="A102" s="72" t="s">
        <v>251</v>
      </c>
      <c r="B102" s="74" t="s">
        <v>143</v>
      </c>
      <c r="C102" s="75" t="s">
        <v>146</v>
      </c>
      <c r="D102" s="75" t="s">
        <v>137</v>
      </c>
      <c r="E102" s="75" t="s">
        <v>138</v>
      </c>
      <c r="F102" s="75" t="s">
        <v>146</v>
      </c>
      <c r="G102" s="75" t="s">
        <v>253</v>
      </c>
      <c r="H102" s="75" t="s">
        <v>138</v>
      </c>
      <c r="I102" s="74" t="s">
        <v>139</v>
      </c>
    </row>
    <row r="105" spans="1:10" x14ac:dyDescent="0.2">
      <c r="A105" s="70" t="s">
        <v>156</v>
      </c>
      <c r="B105" s="9"/>
      <c r="C105" s="69"/>
      <c r="D105" s="77"/>
      <c r="E105" s="78"/>
      <c r="F105" s="77"/>
      <c r="G105" s="79"/>
      <c r="H105" s="79"/>
      <c r="I105" s="79"/>
      <c r="J105" s="79"/>
    </row>
    <row r="106" spans="1:10" x14ac:dyDescent="0.2">
      <c r="A106" s="69"/>
      <c r="B106" s="69"/>
      <c r="C106" s="69"/>
      <c r="D106" s="77" t="s">
        <v>145</v>
      </c>
      <c r="E106" s="78" t="s">
        <v>147</v>
      </c>
      <c r="F106" s="77" t="s">
        <v>149</v>
      </c>
      <c r="G106" s="79"/>
      <c r="H106" s="95" t="s">
        <v>26</v>
      </c>
      <c r="I106" s="79"/>
      <c r="J106" s="79"/>
    </row>
    <row r="107" spans="1:10" x14ac:dyDescent="0.2">
      <c r="A107" s="69"/>
      <c r="B107" s="69"/>
      <c r="C107" s="69" t="s">
        <v>144</v>
      </c>
      <c r="D107" s="77" t="s">
        <v>146</v>
      </c>
      <c r="E107" s="78" t="s">
        <v>148</v>
      </c>
      <c r="F107" s="77" t="s">
        <v>150</v>
      </c>
      <c r="G107" s="79" t="s">
        <v>157</v>
      </c>
      <c r="H107" s="79" t="s">
        <v>151</v>
      </c>
      <c r="I107" s="79" t="s">
        <v>152</v>
      </c>
      <c r="J107" s="79" t="s">
        <v>153</v>
      </c>
    </row>
    <row r="108" spans="1:10" ht="14.25" x14ac:dyDescent="0.2">
      <c r="A108" s="72" t="s">
        <v>251</v>
      </c>
      <c r="B108" s="72" t="s">
        <v>143</v>
      </c>
      <c r="C108" s="73" t="s">
        <v>251</v>
      </c>
      <c r="D108" s="87" t="s">
        <v>185</v>
      </c>
      <c r="E108" s="81" t="s">
        <v>155</v>
      </c>
      <c r="F108" s="80" t="s">
        <v>154</v>
      </c>
      <c r="G108" s="82" t="s">
        <v>158</v>
      </c>
      <c r="H108" s="88" t="s">
        <v>186</v>
      </c>
      <c r="I108" s="88" t="s">
        <v>186</v>
      </c>
      <c r="J108" s="88" t="s">
        <v>185</v>
      </c>
    </row>
    <row r="119" spans="1:9" x14ac:dyDescent="0.2">
      <c r="A119" s="9" t="s">
        <v>25</v>
      </c>
      <c r="D119" s="9"/>
    </row>
    <row r="120" spans="1:9" x14ac:dyDescent="0.2">
      <c r="C120" s="71" t="s">
        <v>77</v>
      </c>
      <c r="D120" s="71" t="s">
        <v>17</v>
      </c>
      <c r="E120" s="71" t="s">
        <v>614</v>
      </c>
      <c r="F120" s="71" t="s">
        <v>18</v>
      </c>
      <c r="G120" s="71" t="s">
        <v>19</v>
      </c>
      <c r="H120" s="71" t="s">
        <v>20</v>
      </c>
      <c r="I120" s="71" t="s">
        <v>21</v>
      </c>
    </row>
    <row r="121" spans="1:9" ht="14.25" x14ac:dyDescent="0.2">
      <c r="A121" s="72" t="s">
        <v>251</v>
      </c>
      <c r="B121" s="74" t="s">
        <v>143</v>
      </c>
      <c r="C121" s="76" t="s">
        <v>81</v>
      </c>
      <c r="D121" s="75" t="s">
        <v>22</v>
      </c>
      <c r="E121" s="75" t="s">
        <v>22</v>
      </c>
      <c r="F121" s="75" t="s">
        <v>23</v>
      </c>
      <c r="G121" s="76" t="s">
        <v>24</v>
      </c>
      <c r="H121" s="75" t="s">
        <v>23</v>
      </c>
      <c r="I121" s="75" t="s">
        <v>80</v>
      </c>
    </row>
    <row r="129" spans="1:8" x14ac:dyDescent="0.2">
      <c r="A129" s="9" t="s">
        <v>36</v>
      </c>
      <c r="B129" s="9"/>
      <c r="C129" s="9"/>
      <c r="D129" s="9"/>
      <c r="E129" s="9"/>
      <c r="F129" s="9"/>
      <c r="G129" s="9"/>
    </row>
    <row r="130" spans="1:8" x14ac:dyDescent="0.2">
      <c r="A130" s="9" t="s">
        <v>38</v>
      </c>
      <c r="B130" s="9"/>
      <c r="C130" s="9"/>
      <c r="D130" s="9"/>
      <c r="E130" s="9"/>
      <c r="F130" s="9"/>
      <c r="G130" s="9"/>
    </row>
    <row r="131" spans="1:8" x14ac:dyDescent="0.2">
      <c r="A131" s="19" t="s">
        <v>84</v>
      </c>
      <c r="B131" s="19"/>
      <c r="C131" s="9"/>
      <c r="D131" s="9"/>
      <c r="E131" s="9"/>
      <c r="F131" s="9"/>
      <c r="G131" s="9"/>
    </row>
    <row r="132" spans="1:8" x14ac:dyDescent="0.2">
      <c r="A132" s="9" t="s">
        <v>39</v>
      </c>
      <c r="B132" s="9"/>
      <c r="C132" s="9"/>
      <c r="D132" s="9"/>
      <c r="E132" s="9"/>
      <c r="F132" s="9"/>
      <c r="G132" s="9"/>
    </row>
    <row r="133" spans="1:8" x14ac:dyDescent="0.2">
      <c r="A133" s="9"/>
      <c r="B133" s="9"/>
      <c r="C133" s="9"/>
      <c r="D133" s="9"/>
      <c r="E133" s="9"/>
      <c r="F133" s="9"/>
      <c r="G133" s="9"/>
    </row>
    <row r="134" spans="1:8" x14ac:dyDescent="0.2">
      <c r="A134" s="71" t="s">
        <v>168</v>
      </c>
      <c r="B134" s="71" t="s">
        <v>161</v>
      </c>
      <c r="C134" s="71" t="s">
        <v>85</v>
      </c>
      <c r="D134" s="71" t="s">
        <v>164</v>
      </c>
      <c r="E134" s="70"/>
      <c r="G134" s="9"/>
      <c r="H134" s="9"/>
    </row>
    <row r="135" spans="1:8" ht="14.25" x14ac:dyDescent="0.2">
      <c r="A135" s="75" t="s">
        <v>97</v>
      </c>
      <c r="B135" s="75" t="s">
        <v>166</v>
      </c>
      <c r="C135" s="75" t="s">
        <v>163</v>
      </c>
      <c r="D135" s="76" t="s">
        <v>189</v>
      </c>
      <c r="E135" s="75" t="s">
        <v>183</v>
      </c>
      <c r="F135" s="75" t="s">
        <v>184</v>
      </c>
      <c r="G135" s="75" t="s">
        <v>40</v>
      </c>
      <c r="H135" s="75" t="s">
        <v>41</v>
      </c>
    </row>
    <row r="139" spans="1:8" x14ac:dyDescent="0.2">
      <c r="A139" s="9" t="s">
        <v>39</v>
      </c>
      <c r="B139" s="9" t="s">
        <v>286</v>
      </c>
      <c r="E139" s="75"/>
    </row>
    <row r="140" spans="1:8" x14ac:dyDescent="0.2">
      <c r="A140" s="9"/>
      <c r="B140" s="9"/>
      <c r="E140" s="75"/>
    </row>
    <row r="141" spans="1:8" x14ac:dyDescent="0.2">
      <c r="A141" s="9"/>
      <c r="B141" s="71" t="s">
        <v>90</v>
      </c>
      <c r="C141" s="71"/>
      <c r="D141" s="71" t="s">
        <v>214</v>
      </c>
      <c r="E141" s="75"/>
    </row>
    <row r="142" spans="1:8" x14ac:dyDescent="0.2">
      <c r="A142" s="74" t="s">
        <v>142</v>
      </c>
      <c r="B142" s="75" t="s">
        <v>183</v>
      </c>
      <c r="C142" s="75" t="s">
        <v>184</v>
      </c>
      <c r="D142" s="75" t="s">
        <v>183</v>
      </c>
      <c r="E142" s="75" t="s">
        <v>184</v>
      </c>
    </row>
    <row r="147" spans="1:42" x14ac:dyDescent="0.2">
      <c r="A147" s="154"/>
      <c r="B147" s="154"/>
      <c r="C147" s="96"/>
      <c r="D147" s="96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  <c r="AC147" s="154"/>
      <c r="AD147" s="154"/>
      <c r="AE147" s="154"/>
      <c r="AF147" s="154"/>
      <c r="AG147" s="154"/>
      <c r="AH147" s="154"/>
      <c r="AI147" s="154"/>
      <c r="AJ147" s="154"/>
      <c r="AK147" s="154"/>
      <c r="AL147" s="154"/>
      <c r="AM147" s="154"/>
      <c r="AN147" s="154"/>
      <c r="AO147" s="154"/>
      <c r="AP147" s="154"/>
    </row>
    <row r="148" spans="1:42" x14ac:dyDescent="0.2">
      <c r="A148" s="163" t="s">
        <v>510</v>
      </c>
      <c r="B148" s="161"/>
      <c r="C148" s="154"/>
      <c r="D148" s="161"/>
      <c r="E148" s="162"/>
      <c r="F148" s="162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  <c r="AC148" s="154"/>
      <c r="AD148" s="154"/>
      <c r="AE148" s="154"/>
      <c r="AF148" s="154"/>
      <c r="AG148" s="154"/>
      <c r="AH148" s="154"/>
      <c r="AI148" s="154"/>
      <c r="AJ148" s="154"/>
      <c r="AK148" s="154"/>
      <c r="AL148" s="154"/>
      <c r="AM148" s="154"/>
      <c r="AN148" s="154"/>
      <c r="AO148" s="154"/>
      <c r="AP148" s="154"/>
    </row>
    <row r="149" spans="1:42" x14ac:dyDescent="0.2">
      <c r="A149" s="154"/>
      <c r="B149" s="161"/>
      <c r="C149" s="154"/>
      <c r="D149" s="161"/>
      <c r="E149" s="162"/>
      <c r="F149" s="162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4"/>
      <c r="AG149" s="154"/>
      <c r="AH149" s="154"/>
      <c r="AI149" s="154"/>
      <c r="AJ149" s="154"/>
      <c r="AK149" s="154"/>
      <c r="AL149" s="154"/>
      <c r="AM149" s="154"/>
      <c r="AN149" s="154"/>
      <c r="AO149" s="154"/>
      <c r="AP149" s="154"/>
    </row>
    <row r="150" spans="1:42" x14ac:dyDescent="0.2">
      <c r="A150" s="154"/>
      <c r="B150" s="161"/>
      <c r="C150" s="154"/>
      <c r="D150" s="161"/>
      <c r="E150" s="162"/>
      <c r="F150" s="162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  <c r="AC150" s="154"/>
      <c r="AD150" s="154"/>
      <c r="AE150" s="154"/>
      <c r="AF150" s="154"/>
      <c r="AG150" s="154"/>
      <c r="AH150" s="154"/>
      <c r="AI150" s="154"/>
      <c r="AJ150" s="154"/>
      <c r="AK150" s="154"/>
      <c r="AL150" s="154"/>
      <c r="AM150" s="154"/>
      <c r="AN150" s="154"/>
      <c r="AO150" s="154"/>
      <c r="AP150" s="154"/>
    </row>
    <row r="151" spans="1:42" x14ac:dyDescent="0.2">
      <c r="A151" s="154"/>
      <c r="B151" s="165"/>
      <c r="C151" s="154"/>
      <c r="D151" s="161"/>
      <c r="E151" s="162"/>
      <c r="F151" s="162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  <c r="AC151" s="154"/>
      <c r="AD151" s="154"/>
      <c r="AE151" s="154"/>
      <c r="AF151" s="154"/>
      <c r="AG151" s="154"/>
      <c r="AH151" s="154"/>
      <c r="AI151" s="154"/>
      <c r="AJ151" s="154"/>
      <c r="AK151" s="154"/>
      <c r="AL151" s="154"/>
      <c r="AM151" s="154"/>
      <c r="AN151" s="154"/>
      <c r="AO151" s="154"/>
      <c r="AP151" s="154"/>
    </row>
    <row r="152" spans="1:42" x14ac:dyDescent="0.2">
      <c r="A152" s="154"/>
      <c r="B152" s="161"/>
      <c r="C152" s="154"/>
      <c r="D152" s="161"/>
      <c r="E152" s="162"/>
      <c r="F152" s="162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  <c r="AC152" s="154"/>
      <c r="AD152" s="154"/>
      <c r="AE152" s="154"/>
      <c r="AF152" s="154"/>
      <c r="AG152" s="154"/>
      <c r="AH152" s="154"/>
      <c r="AI152" s="154"/>
      <c r="AJ152" s="154"/>
      <c r="AK152" s="154"/>
      <c r="AL152" s="154"/>
      <c r="AM152" s="154"/>
      <c r="AN152" s="154"/>
      <c r="AO152" s="154"/>
      <c r="AP152" s="154"/>
    </row>
    <row r="153" spans="1:42" x14ac:dyDescent="0.2">
      <c r="A153" s="154"/>
      <c r="B153" s="161"/>
      <c r="C153" s="154"/>
      <c r="D153" s="161"/>
      <c r="E153" s="162"/>
      <c r="F153" s="162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  <c r="AH153" s="154"/>
      <c r="AI153" s="154"/>
      <c r="AJ153" s="154"/>
      <c r="AK153" s="154"/>
      <c r="AL153" s="154"/>
      <c r="AM153" s="154"/>
      <c r="AN153" s="154"/>
      <c r="AO153" s="154"/>
      <c r="AP153" s="154"/>
    </row>
    <row r="154" spans="1:42" x14ac:dyDescent="0.2">
      <c r="A154" s="154"/>
      <c r="B154" s="161"/>
      <c r="C154" s="154"/>
      <c r="D154" s="161"/>
      <c r="E154" s="162"/>
      <c r="F154" s="162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4"/>
      <c r="AE154" s="154"/>
      <c r="AF154" s="154"/>
      <c r="AG154" s="154"/>
      <c r="AH154" s="154"/>
      <c r="AI154" s="154"/>
      <c r="AJ154" s="154"/>
      <c r="AK154" s="154"/>
      <c r="AL154" s="154"/>
      <c r="AM154" s="154"/>
      <c r="AN154" s="154"/>
      <c r="AO154" s="154"/>
      <c r="AP154" s="154"/>
    </row>
    <row r="155" spans="1:42" x14ac:dyDescent="0.2">
      <c r="A155" s="154"/>
      <c r="B155" s="161"/>
      <c r="C155" s="154"/>
      <c r="D155" s="161"/>
      <c r="E155" s="162"/>
      <c r="F155" s="162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4"/>
      <c r="AG155" s="154"/>
      <c r="AH155" s="154"/>
      <c r="AI155" s="154"/>
      <c r="AJ155" s="154"/>
      <c r="AK155" s="154"/>
      <c r="AL155" s="154"/>
      <c r="AM155" s="154"/>
      <c r="AN155" s="154"/>
      <c r="AO155" s="154"/>
      <c r="AP155" s="154"/>
    </row>
    <row r="156" spans="1:42" x14ac:dyDescent="0.2">
      <c r="A156" s="154"/>
      <c r="B156" s="161"/>
      <c r="C156" s="154"/>
      <c r="D156" s="161"/>
      <c r="E156" s="162"/>
      <c r="F156" s="162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  <c r="AC156" s="154"/>
      <c r="AD156" s="154"/>
      <c r="AE156" s="154"/>
      <c r="AF156" s="154"/>
      <c r="AG156" s="154"/>
      <c r="AH156" s="154"/>
      <c r="AI156" s="154"/>
      <c r="AJ156" s="154"/>
      <c r="AK156" s="154"/>
      <c r="AL156" s="154"/>
      <c r="AM156" s="154"/>
      <c r="AN156" s="154"/>
      <c r="AO156" s="154"/>
      <c r="AP156" s="154"/>
    </row>
    <row r="157" spans="1:42" x14ac:dyDescent="0.2">
      <c r="A157" s="154"/>
      <c r="B157" s="161"/>
      <c r="C157" s="154"/>
      <c r="D157" s="161"/>
      <c r="E157" s="162"/>
      <c r="F157" s="162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  <c r="AC157" s="154"/>
      <c r="AD157" s="154"/>
      <c r="AE157" s="154"/>
      <c r="AF157" s="154"/>
      <c r="AG157" s="154"/>
      <c r="AH157" s="154"/>
      <c r="AI157" s="154"/>
      <c r="AJ157" s="154"/>
      <c r="AK157" s="154"/>
      <c r="AL157" s="154"/>
      <c r="AM157" s="154"/>
      <c r="AN157" s="154"/>
      <c r="AO157" s="154"/>
      <c r="AP157" s="154"/>
    </row>
    <row r="158" spans="1:42" x14ac:dyDescent="0.2">
      <c r="A158" s="154"/>
      <c r="B158" s="161"/>
      <c r="C158" s="154"/>
      <c r="D158" s="161"/>
      <c r="E158" s="162"/>
      <c r="F158" s="162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  <c r="AE158" s="154"/>
      <c r="AF158" s="154"/>
      <c r="AG158" s="154"/>
      <c r="AH158" s="154"/>
      <c r="AI158" s="154"/>
      <c r="AJ158" s="154"/>
      <c r="AK158" s="154"/>
      <c r="AL158" s="154"/>
      <c r="AM158" s="154"/>
      <c r="AN158" s="154"/>
      <c r="AO158" s="154"/>
      <c r="AP158" s="154"/>
    </row>
    <row r="159" spans="1:42" x14ac:dyDescent="0.2">
      <c r="A159" s="154"/>
      <c r="B159" s="154"/>
      <c r="C159" s="96"/>
      <c r="D159" s="96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  <c r="AC159" s="154"/>
      <c r="AD159" s="154"/>
      <c r="AE159" s="154"/>
      <c r="AF159" s="154"/>
      <c r="AG159" s="154"/>
      <c r="AH159" s="154"/>
      <c r="AI159" s="154"/>
      <c r="AJ159" s="154"/>
      <c r="AK159" s="154"/>
      <c r="AL159" s="154"/>
      <c r="AM159" s="154"/>
      <c r="AN159" s="154"/>
      <c r="AO159" s="154"/>
      <c r="AP159" s="154"/>
    </row>
    <row r="160" spans="1:42" x14ac:dyDescent="0.2">
      <c r="A160" s="172" t="s">
        <v>0</v>
      </c>
      <c r="B160" s="173"/>
      <c r="C160" s="156" t="s">
        <v>183</v>
      </c>
      <c r="D160" s="156" t="s">
        <v>184</v>
      </c>
      <c r="E160" s="154"/>
      <c r="F160" s="154"/>
      <c r="G160" s="153" t="s">
        <v>126</v>
      </c>
      <c r="H160" s="154"/>
      <c r="J160" s="164" t="s">
        <v>508</v>
      </c>
      <c r="K160" s="153" t="s">
        <v>507</v>
      </c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  <c r="AC160" s="154"/>
      <c r="AD160" s="154"/>
      <c r="AE160" s="154"/>
      <c r="AF160" s="154"/>
      <c r="AG160" s="154"/>
      <c r="AH160" s="154"/>
      <c r="AI160" s="154"/>
      <c r="AJ160" s="154"/>
      <c r="AK160" s="154"/>
      <c r="AL160" s="154"/>
      <c r="AM160" s="154"/>
      <c r="AN160" s="154"/>
      <c r="AO160" s="154"/>
      <c r="AP160" s="154"/>
    </row>
    <row r="161" spans="1:42" x14ac:dyDescent="0.2">
      <c r="A161" s="154" t="s">
        <v>177</v>
      </c>
      <c r="B161" s="154"/>
      <c r="C161" s="174"/>
      <c r="D161" s="159"/>
      <c r="E161" s="154"/>
      <c r="F161" s="154"/>
      <c r="G161" s="157" t="s">
        <v>269</v>
      </c>
      <c r="H161" s="154"/>
      <c r="I161" s="96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  <c r="AK161" s="154"/>
      <c r="AL161" s="154"/>
      <c r="AM161" s="154"/>
      <c r="AN161" s="154"/>
      <c r="AO161" s="154"/>
      <c r="AP161" s="154"/>
    </row>
    <row r="162" spans="1:42" x14ac:dyDescent="0.2">
      <c r="A162" s="157" t="s">
        <v>195</v>
      </c>
      <c r="B162" s="154"/>
      <c r="C162" s="174"/>
      <c r="D162" s="159"/>
      <c r="E162" s="154"/>
      <c r="F162" s="154"/>
      <c r="G162" s="157" t="s">
        <v>416</v>
      </c>
      <c r="H162" s="154"/>
      <c r="I162" s="96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  <c r="AF162" s="154"/>
      <c r="AG162" s="154"/>
      <c r="AH162" s="154"/>
      <c r="AI162" s="154"/>
      <c r="AJ162" s="154"/>
      <c r="AK162" s="154"/>
      <c r="AL162" s="154"/>
      <c r="AM162" s="154"/>
      <c r="AN162" s="154"/>
      <c r="AO162" s="154"/>
      <c r="AP162" s="154"/>
    </row>
    <row r="163" spans="1:42" x14ac:dyDescent="0.2">
      <c r="A163" s="157" t="s">
        <v>196</v>
      </c>
      <c r="B163" s="154"/>
      <c r="C163" s="174"/>
      <c r="D163" s="159"/>
      <c r="E163" s="154"/>
      <c r="F163" s="154"/>
      <c r="G163" s="157" t="s">
        <v>417</v>
      </c>
      <c r="H163" s="154"/>
      <c r="I163" s="96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  <c r="AC163" s="154"/>
      <c r="AD163" s="154"/>
      <c r="AE163" s="154"/>
      <c r="AF163" s="154"/>
      <c r="AG163" s="154"/>
      <c r="AH163" s="154"/>
      <c r="AI163" s="154"/>
      <c r="AJ163" s="154"/>
      <c r="AK163" s="154"/>
      <c r="AL163" s="154"/>
      <c r="AM163" s="154"/>
      <c r="AN163" s="154"/>
      <c r="AO163" s="154"/>
      <c r="AP163" s="154"/>
    </row>
    <row r="164" spans="1:42" x14ac:dyDescent="0.2">
      <c r="A164" s="157" t="s">
        <v>197</v>
      </c>
      <c r="B164" s="154"/>
      <c r="C164" s="174"/>
      <c r="D164" s="159"/>
      <c r="E164" s="154"/>
      <c r="F164" s="154"/>
      <c r="G164" s="157" t="s">
        <v>216</v>
      </c>
      <c r="H164" s="154"/>
      <c r="I164" s="96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  <c r="AC164" s="154"/>
      <c r="AD164" s="154"/>
      <c r="AE164" s="154"/>
      <c r="AF164" s="154"/>
      <c r="AG164" s="154"/>
      <c r="AH164" s="154"/>
      <c r="AI164" s="154"/>
      <c r="AJ164" s="154"/>
      <c r="AK164" s="154"/>
      <c r="AL164" s="154"/>
      <c r="AM164" s="154"/>
      <c r="AN164" s="154"/>
      <c r="AO164" s="154"/>
      <c r="AP164" s="154"/>
    </row>
    <row r="165" spans="1:42" x14ac:dyDescent="0.2">
      <c r="A165" s="154"/>
      <c r="B165" s="154"/>
      <c r="C165" s="96"/>
      <c r="D165" s="96"/>
      <c r="E165" s="154"/>
      <c r="F165" s="154"/>
      <c r="G165" s="157" t="s">
        <v>427</v>
      </c>
      <c r="H165" s="154"/>
      <c r="I165" s="96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  <c r="AC165" s="154"/>
      <c r="AD165" s="154"/>
      <c r="AE165" s="154"/>
      <c r="AF165" s="154"/>
      <c r="AG165" s="154"/>
      <c r="AH165" s="154"/>
      <c r="AI165" s="154"/>
      <c r="AJ165" s="154"/>
      <c r="AK165" s="154"/>
      <c r="AL165" s="154"/>
      <c r="AM165" s="154"/>
      <c r="AN165" s="154"/>
      <c r="AO165" s="154"/>
      <c r="AP165" s="154"/>
    </row>
    <row r="166" spans="1:42" ht="14.25" x14ac:dyDescent="0.2">
      <c r="A166" s="172" t="s">
        <v>509</v>
      </c>
      <c r="B166" s="173"/>
      <c r="C166" s="156" t="s">
        <v>183</v>
      </c>
      <c r="D166" s="156" t="s">
        <v>184</v>
      </c>
      <c r="E166" s="154"/>
      <c r="F166" s="154"/>
      <c r="G166" s="157" t="s">
        <v>426</v>
      </c>
      <c r="H166" s="154"/>
      <c r="I166" s="96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  <c r="AC166" s="154"/>
      <c r="AD166" s="154"/>
      <c r="AE166" s="154"/>
      <c r="AF166" s="154"/>
      <c r="AG166" s="154"/>
      <c r="AH166" s="154"/>
      <c r="AI166" s="154"/>
      <c r="AJ166" s="154"/>
      <c r="AK166" s="154"/>
      <c r="AL166" s="154"/>
      <c r="AM166" s="154"/>
      <c r="AN166" s="154"/>
      <c r="AO166" s="154"/>
      <c r="AP166" s="154"/>
    </row>
    <row r="167" spans="1:42" x14ac:dyDescent="0.2">
      <c r="A167" s="154" t="s">
        <v>182</v>
      </c>
      <c r="B167" s="154"/>
      <c r="C167" s="96"/>
      <c r="D167" s="160"/>
      <c r="E167" s="154"/>
      <c r="F167" s="154"/>
      <c r="G167" s="157" t="s">
        <v>428</v>
      </c>
      <c r="H167" s="154"/>
      <c r="I167" s="96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  <c r="AC167" s="154"/>
      <c r="AD167" s="154"/>
      <c r="AE167" s="154"/>
      <c r="AF167" s="154"/>
      <c r="AG167" s="154"/>
      <c r="AH167" s="154"/>
      <c r="AI167" s="154"/>
      <c r="AJ167" s="154"/>
      <c r="AK167" s="154"/>
      <c r="AL167" s="154"/>
      <c r="AM167" s="154"/>
      <c r="AN167" s="154"/>
      <c r="AO167" s="154"/>
      <c r="AP167" s="154"/>
    </row>
    <row r="168" spans="1:42" x14ac:dyDescent="0.2">
      <c r="A168" s="154" t="s">
        <v>178</v>
      </c>
      <c r="B168" s="154"/>
      <c r="C168" s="96"/>
      <c r="D168" s="160"/>
      <c r="E168" s="154"/>
      <c r="F168" s="154"/>
      <c r="G168" s="157" t="s">
        <v>429</v>
      </c>
      <c r="H168" s="154"/>
      <c r="I168" s="96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  <c r="AC168" s="154"/>
      <c r="AD168" s="154"/>
      <c r="AE168" s="154"/>
      <c r="AF168" s="154"/>
      <c r="AG168" s="154"/>
      <c r="AH168" s="154"/>
      <c r="AI168" s="154"/>
      <c r="AJ168" s="154"/>
      <c r="AK168" s="154"/>
      <c r="AL168" s="154"/>
      <c r="AM168" s="154"/>
      <c r="AN168" s="154"/>
      <c r="AO168" s="154"/>
      <c r="AP168" s="154"/>
    </row>
    <row r="169" spans="1:42" x14ac:dyDescent="0.2">
      <c r="A169" s="154" t="s">
        <v>180</v>
      </c>
      <c r="B169" s="154"/>
      <c r="C169" s="96"/>
      <c r="D169" s="160"/>
      <c r="E169" s="154"/>
      <c r="F169" s="154"/>
      <c r="G169" s="157" t="s">
        <v>418</v>
      </c>
      <c r="H169" s="154"/>
      <c r="I169" s="96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  <c r="AC169" s="154"/>
      <c r="AD169" s="154"/>
      <c r="AE169" s="154"/>
      <c r="AF169" s="154"/>
      <c r="AG169" s="154"/>
      <c r="AH169" s="154"/>
      <c r="AI169" s="154"/>
      <c r="AJ169" s="154"/>
      <c r="AK169" s="154"/>
      <c r="AL169" s="154"/>
      <c r="AM169" s="154"/>
      <c r="AN169" s="154"/>
      <c r="AO169" s="154"/>
      <c r="AP169" s="154"/>
    </row>
    <row r="170" spans="1:42" x14ac:dyDescent="0.2">
      <c r="A170" s="154" t="s">
        <v>179</v>
      </c>
      <c r="B170" s="154"/>
      <c r="C170" s="96"/>
      <c r="D170" s="160"/>
      <c r="E170" s="154"/>
      <c r="F170" s="154"/>
      <c r="G170" s="157" t="s">
        <v>419</v>
      </c>
      <c r="H170" s="154"/>
      <c r="I170" s="96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  <c r="AC170" s="154"/>
      <c r="AD170" s="154"/>
      <c r="AE170" s="154"/>
      <c r="AF170" s="154"/>
      <c r="AG170" s="154"/>
      <c r="AH170" s="154"/>
      <c r="AI170" s="154"/>
      <c r="AJ170" s="154"/>
      <c r="AK170" s="154"/>
      <c r="AL170" s="154"/>
      <c r="AM170" s="154"/>
      <c r="AN170" s="154"/>
      <c r="AO170" s="154"/>
      <c r="AP170" s="154"/>
    </row>
    <row r="171" spans="1:42" x14ac:dyDescent="0.2">
      <c r="A171" s="154" t="s">
        <v>181</v>
      </c>
      <c r="B171" s="154"/>
      <c r="C171" s="96"/>
      <c r="D171" s="160"/>
      <c r="E171" s="154"/>
      <c r="F171" s="154"/>
      <c r="G171" s="157" t="s">
        <v>420</v>
      </c>
      <c r="H171" s="154"/>
      <c r="I171" s="96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  <c r="AC171" s="154"/>
      <c r="AD171" s="154"/>
      <c r="AE171" s="154"/>
      <c r="AF171" s="154"/>
      <c r="AG171" s="154"/>
      <c r="AH171" s="154"/>
      <c r="AI171" s="154"/>
      <c r="AJ171" s="154"/>
      <c r="AK171" s="154"/>
      <c r="AL171" s="154"/>
      <c r="AM171" s="154"/>
      <c r="AN171" s="154"/>
      <c r="AO171" s="154"/>
      <c r="AP171" s="154"/>
    </row>
    <row r="172" spans="1:42" x14ac:dyDescent="0.2">
      <c r="A172" s="154"/>
      <c r="B172" s="154"/>
      <c r="C172" s="96"/>
      <c r="D172" s="96"/>
      <c r="E172" s="154"/>
      <c r="F172" s="154"/>
      <c r="G172" s="157" t="s">
        <v>511</v>
      </c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  <c r="AC172" s="154"/>
      <c r="AD172" s="154"/>
      <c r="AE172" s="154"/>
      <c r="AF172" s="154"/>
      <c r="AG172" s="154"/>
      <c r="AH172" s="154"/>
      <c r="AI172" s="154"/>
      <c r="AJ172" s="154"/>
      <c r="AK172" s="154"/>
      <c r="AL172" s="154"/>
      <c r="AM172" s="154"/>
      <c r="AN172" s="154"/>
      <c r="AO172" s="154"/>
      <c r="AP172" s="154"/>
    </row>
    <row r="173" spans="1:42" x14ac:dyDescent="0.2">
      <c r="A173" s="154"/>
      <c r="B173" s="154"/>
      <c r="C173" s="96"/>
      <c r="D173" s="96"/>
      <c r="E173" s="154"/>
      <c r="F173" s="154"/>
      <c r="G173" s="157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  <c r="AC173" s="154"/>
      <c r="AD173" s="154"/>
      <c r="AE173" s="154"/>
      <c r="AF173" s="154"/>
      <c r="AG173" s="154"/>
      <c r="AH173" s="154"/>
      <c r="AI173" s="154"/>
      <c r="AJ173" s="154"/>
      <c r="AK173" s="154"/>
      <c r="AL173" s="154"/>
      <c r="AM173" s="154"/>
      <c r="AN173" s="154"/>
      <c r="AO173" s="154"/>
      <c r="AP173" s="154"/>
    </row>
    <row r="174" spans="1:42" x14ac:dyDescent="0.2">
      <c r="A174" s="151" t="s">
        <v>219</v>
      </c>
      <c r="B174" s="154"/>
      <c r="C174" s="96"/>
      <c r="D174" s="96"/>
      <c r="E174" s="154"/>
      <c r="F174" s="154"/>
      <c r="G174" s="154"/>
      <c r="H174" s="154"/>
      <c r="I174" s="154"/>
      <c r="J174" s="154"/>
      <c r="K174" s="154"/>
      <c r="L174" s="154"/>
      <c r="O174" s="151" t="s">
        <v>496</v>
      </c>
      <c r="P174" s="151"/>
      <c r="Q174" s="151"/>
      <c r="R174" s="151"/>
      <c r="S174" s="151"/>
      <c r="T174" s="154"/>
      <c r="U174" s="154"/>
      <c r="V174" s="154"/>
      <c r="W174" s="154"/>
      <c r="X174" s="154"/>
      <c r="Y174" s="154"/>
      <c r="Z174" s="154"/>
      <c r="AA174" s="154"/>
      <c r="AB174" s="154"/>
      <c r="AC174" s="154"/>
      <c r="AD174" s="154"/>
      <c r="AE174" s="154"/>
      <c r="AF174" s="154"/>
      <c r="AG174" s="154"/>
      <c r="AH174" s="154"/>
      <c r="AI174" s="154"/>
      <c r="AJ174" s="154"/>
      <c r="AK174" s="154"/>
      <c r="AL174" s="154"/>
      <c r="AM174" s="154"/>
      <c r="AN174" s="154"/>
      <c r="AO174" s="154"/>
      <c r="AP174" s="154"/>
    </row>
    <row r="175" spans="1:42" ht="14.25" x14ac:dyDescent="0.2">
      <c r="A175" s="151"/>
      <c r="B175" s="151"/>
      <c r="C175" s="152"/>
      <c r="D175" s="151" t="s">
        <v>144</v>
      </c>
      <c r="E175" s="152"/>
      <c r="F175" s="166" t="s">
        <v>77</v>
      </c>
      <c r="G175" s="166" t="s">
        <v>487</v>
      </c>
      <c r="H175" s="166" t="s">
        <v>18</v>
      </c>
      <c r="I175" s="163" t="s">
        <v>198</v>
      </c>
      <c r="J175" s="166"/>
      <c r="K175" s="155" t="s">
        <v>488</v>
      </c>
      <c r="L175" s="166"/>
      <c r="M175" s="163" t="s">
        <v>491</v>
      </c>
      <c r="N175" s="163"/>
      <c r="O175" s="166" t="s">
        <v>497</v>
      </c>
      <c r="P175" s="151"/>
      <c r="Q175" s="151" t="s">
        <v>178</v>
      </c>
      <c r="R175" s="151"/>
      <c r="S175" s="151" t="s">
        <v>180</v>
      </c>
      <c r="T175" s="154"/>
      <c r="U175" s="154"/>
      <c r="V175" s="154"/>
      <c r="W175" s="154"/>
      <c r="X175" s="154"/>
      <c r="Y175" s="154"/>
      <c r="Z175" s="154"/>
      <c r="AA175" s="154"/>
      <c r="AB175" s="154"/>
      <c r="AC175" s="154"/>
      <c r="AD175" s="154"/>
      <c r="AE175" s="154"/>
      <c r="AF175" s="154"/>
      <c r="AG175" s="154"/>
      <c r="AH175" s="154"/>
      <c r="AI175" s="154"/>
      <c r="AJ175" s="154"/>
      <c r="AK175" s="154"/>
      <c r="AL175" s="154"/>
      <c r="AM175" s="154"/>
      <c r="AN175" s="154"/>
      <c r="AO175" s="154"/>
      <c r="AP175" s="154"/>
    </row>
    <row r="176" spans="1:42" ht="14.25" x14ac:dyDescent="0.2">
      <c r="A176" s="153" t="s">
        <v>251</v>
      </c>
      <c r="B176" s="153" t="s">
        <v>143</v>
      </c>
      <c r="C176" s="167"/>
      <c r="D176" s="153" t="s">
        <v>142</v>
      </c>
      <c r="E176" s="168" t="s">
        <v>433</v>
      </c>
      <c r="F176" s="169" t="s">
        <v>81</v>
      </c>
      <c r="G176" s="158" t="s">
        <v>22</v>
      </c>
      <c r="H176" s="158" t="s">
        <v>23</v>
      </c>
      <c r="I176" s="158" t="s">
        <v>183</v>
      </c>
      <c r="J176" s="169" t="s">
        <v>184</v>
      </c>
      <c r="K176" s="158" t="s">
        <v>183</v>
      </c>
      <c r="L176" s="158" t="s">
        <v>184</v>
      </c>
      <c r="M176" s="158" t="s">
        <v>183</v>
      </c>
      <c r="N176" s="158" t="s">
        <v>184</v>
      </c>
      <c r="O176" s="158" t="s">
        <v>183</v>
      </c>
      <c r="P176" s="158" t="s">
        <v>184</v>
      </c>
      <c r="Q176" s="158" t="s">
        <v>183</v>
      </c>
      <c r="R176" s="158" t="s">
        <v>184</v>
      </c>
      <c r="S176" s="158" t="s">
        <v>183</v>
      </c>
      <c r="T176" s="158" t="s">
        <v>184</v>
      </c>
      <c r="U176" s="154"/>
      <c r="V176" s="154"/>
      <c r="W176" s="154"/>
      <c r="X176" s="154"/>
      <c r="Y176" s="154"/>
      <c r="Z176" s="154"/>
      <c r="AA176" s="154"/>
      <c r="AB176" s="154"/>
      <c r="AC176" s="154"/>
      <c r="AD176" s="154"/>
      <c r="AE176" s="154"/>
      <c r="AF176" s="154"/>
      <c r="AG176" s="154"/>
      <c r="AH176" s="154"/>
      <c r="AI176" s="154"/>
      <c r="AJ176" s="154"/>
      <c r="AK176" s="154"/>
      <c r="AL176" s="154"/>
      <c r="AM176" s="154"/>
      <c r="AN176" s="154"/>
      <c r="AO176" s="154"/>
      <c r="AP176" s="154"/>
    </row>
    <row r="177" spans="1:42" x14ac:dyDescent="0.2">
      <c r="A177" s="154"/>
      <c r="B177" s="154"/>
      <c r="C177" s="96"/>
      <c r="D177" s="96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  <c r="AC177" s="154"/>
      <c r="AD177" s="154"/>
      <c r="AE177" s="154"/>
      <c r="AF177" s="154"/>
      <c r="AG177" s="154"/>
      <c r="AH177" s="154"/>
      <c r="AI177" s="154"/>
      <c r="AJ177" s="154"/>
      <c r="AK177" s="154"/>
      <c r="AL177" s="154"/>
      <c r="AM177" s="154"/>
      <c r="AN177" s="154"/>
      <c r="AO177" s="154"/>
      <c r="AP177" s="154"/>
    </row>
    <row r="178" spans="1:42" x14ac:dyDescent="0.2">
      <c r="A178" s="154"/>
      <c r="B178" s="154"/>
      <c r="C178" s="96"/>
      <c r="D178" s="96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4"/>
      <c r="AH178" s="154"/>
      <c r="AI178" s="154"/>
      <c r="AJ178" s="154"/>
      <c r="AK178" s="154"/>
      <c r="AL178" s="154"/>
      <c r="AM178" s="154"/>
      <c r="AN178" s="154"/>
      <c r="AO178" s="154"/>
      <c r="AP178" s="154"/>
    </row>
    <row r="179" spans="1:42" x14ac:dyDescent="0.2">
      <c r="A179" s="151" t="s">
        <v>493</v>
      </c>
      <c r="B179" s="96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V179" s="154"/>
      <c r="W179" s="154"/>
      <c r="X179" s="154"/>
      <c r="Y179" s="154"/>
      <c r="Z179" s="154"/>
      <c r="AA179" s="154"/>
      <c r="AB179" s="154"/>
      <c r="AC179" s="154"/>
      <c r="AD179" s="154"/>
      <c r="AE179" s="154"/>
      <c r="AF179" s="154"/>
      <c r="AG179" s="154"/>
      <c r="AH179" s="154"/>
      <c r="AI179" s="154"/>
      <c r="AJ179" s="154"/>
      <c r="AK179" s="154"/>
      <c r="AL179" s="154"/>
      <c r="AM179" s="154"/>
      <c r="AN179" s="154"/>
      <c r="AO179" s="154"/>
      <c r="AP179" s="154"/>
    </row>
    <row r="180" spans="1:42" x14ac:dyDescent="0.2">
      <c r="A180" s="151"/>
      <c r="B180" s="180" t="s">
        <v>623</v>
      </c>
      <c r="C180" s="155"/>
      <c r="D180" s="163" t="s">
        <v>201</v>
      </c>
      <c r="E180" s="163"/>
      <c r="F180" s="155" t="s">
        <v>202</v>
      </c>
      <c r="G180" s="155"/>
      <c r="H180" s="163" t="s">
        <v>492</v>
      </c>
      <c r="I180" s="155"/>
      <c r="J180" s="155" t="s">
        <v>204</v>
      </c>
      <c r="K180" s="155"/>
      <c r="L180" s="163" t="s">
        <v>213</v>
      </c>
      <c r="M180" s="155"/>
      <c r="N180" s="163" t="s">
        <v>494</v>
      </c>
      <c r="O180" s="151"/>
      <c r="P180" s="163" t="s">
        <v>489</v>
      </c>
      <c r="Q180" s="151"/>
      <c r="R180" s="163" t="s">
        <v>490</v>
      </c>
      <c r="S180" s="151"/>
      <c r="V180" s="154"/>
      <c r="W180" s="154"/>
      <c r="X180" s="154"/>
      <c r="Y180" s="154"/>
      <c r="Z180" s="154"/>
      <c r="AA180" s="154"/>
      <c r="AB180" s="154"/>
      <c r="AC180" s="154"/>
      <c r="AD180" s="154"/>
      <c r="AE180" s="154"/>
      <c r="AF180" s="154"/>
      <c r="AG180" s="154"/>
      <c r="AH180" s="154"/>
      <c r="AI180" s="154"/>
      <c r="AJ180" s="154"/>
      <c r="AK180" s="154"/>
      <c r="AL180" s="154"/>
      <c r="AM180" s="154"/>
      <c r="AN180" s="154"/>
      <c r="AO180" s="154"/>
      <c r="AP180" s="154"/>
    </row>
    <row r="181" spans="1:42" x14ac:dyDescent="0.2">
      <c r="A181" s="153" t="s">
        <v>251</v>
      </c>
      <c r="B181" s="158" t="s">
        <v>183</v>
      </c>
      <c r="C181" s="158" t="s">
        <v>184</v>
      </c>
      <c r="D181" s="158" t="s">
        <v>183</v>
      </c>
      <c r="E181" s="158" t="s">
        <v>184</v>
      </c>
      <c r="F181" s="158" t="s">
        <v>183</v>
      </c>
      <c r="G181" s="158" t="s">
        <v>184</v>
      </c>
      <c r="H181" s="158" t="s">
        <v>183</v>
      </c>
      <c r="I181" s="158" t="s">
        <v>184</v>
      </c>
      <c r="J181" s="158" t="s">
        <v>183</v>
      </c>
      <c r="K181" s="158" t="s">
        <v>184</v>
      </c>
      <c r="L181" s="158" t="s">
        <v>183</v>
      </c>
      <c r="M181" s="158" t="s">
        <v>184</v>
      </c>
      <c r="N181" s="158" t="s">
        <v>183</v>
      </c>
      <c r="O181" s="158" t="s">
        <v>184</v>
      </c>
      <c r="P181" s="158" t="s">
        <v>183</v>
      </c>
      <c r="Q181" s="158" t="s">
        <v>184</v>
      </c>
      <c r="R181" s="158" t="s">
        <v>183</v>
      </c>
      <c r="S181" s="158" t="s">
        <v>184</v>
      </c>
      <c r="V181" s="154"/>
      <c r="W181" s="154"/>
      <c r="X181" s="154"/>
      <c r="Y181" s="154"/>
      <c r="Z181" s="154"/>
      <c r="AA181" s="154"/>
      <c r="AB181" s="154"/>
      <c r="AC181" s="154"/>
      <c r="AD181" s="154"/>
      <c r="AE181" s="154"/>
      <c r="AF181" s="154"/>
      <c r="AG181" s="154"/>
      <c r="AH181" s="154"/>
      <c r="AI181" s="154"/>
      <c r="AJ181" s="154"/>
      <c r="AK181" s="154"/>
      <c r="AL181" s="154"/>
      <c r="AM181" s="154"/>
      <c r="AN181" s="154"/>
      <c r="AO181" s="154"/>
      <c r="AP181" s="154"/>
    </row>
    <row r="182" spans="1:42" x14ac:dyDescent="0.2">
      <c r="A182" s="154"/>
      <c r="B182" s="154"/>
      <c r="C182" s="96"/>
      <c r="D182" s="96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4"/>
      <c r="AG182" s="154"/>
      <c r="AH182" s="154"/>
      <c r="AI182" s="154"/>
      <c r="AJ182" s="154"/>
      <c r="AK182" s="154"/>
      <c r="AL182" s="154"/>
      <c r="AM182" s="154"/>
      <c r="AN182" s="154"/>
      <c r="AO182" s="154"/>
      <c r="AP182" s="154"/>
    </row>
    <row r="183" spans="1:42" x14ac:dyDescent="0.2">
      <c r="A183" s="154"/>
      <c r="B183" s="154"/>
      <c r="C183" s="96"/>
      <c r="D183" s="96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4"/>
      <c r="AG183" s="154"/>
      <c r="AH183" s="154"/>
      <c r="AI183" s="154"/>
      <c r="AJ183" s="154"/>
      <c r="AK183" s="154"/>
      <c r="AL183" s="154"/>
      <c r="AM183" s="154"/>
      <c r="AN183" s="154"/>
      <c r="AO183" s="154"/>
      <c r="AP183" s="154"/>
    </row>
    <row r="184" spans="1:42" x14ac:dyDescent="0.2">
      <c r="A184" s="154"/>
      <c r="B184" s="154"/>
      <c r="C184" s="96"/>
      <c r="D184" s="96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  <c r="AC184" s="154"/>
      <c r="AD184" s="154"/>
      <c r="AE184" s="154"/>
      <c r="AF184" s="154"/>
      <c r="AG184" s="154"/>
      <c r="AH184" s="154"/>
      <c r="AI184" s="154"/>
      <c r="AJ184" s="154"/>
      <c r="AK184" s="154"/>
      <c r="AL184" s="154"/>
      <c r="AM184" s="154"/>
      <c r="AN184" s="154"/>
      <c r="AO184" s="154"/>
      <c r="AP184" s="154"/>
    </row>
    <row r="185" spans="1:42" x14ac:dyDescent="0.2">
      <c r="A185" s="163" t="s">
        <v>495</v>
      </c>
      <c r="B185" s="154"/>
      <c r="C185" s="96"/>
      <c r="D185" s="96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  <c r="AC185" s="154"/>
      <c r="AD185" s="154"/>
      <c r="AE185" s="154"/>
      <c r="AF185" s="154"/>
      <c r="AG185" s="154"/>
      <c r="AH185" s="154"/>
      <c r="AI185" s="154"/>
      <c r="AJ185" s="154"/>
      <c r="AK185" s="154"/>
      <c r="AL185" s="154"/>
      <c r="AM185" s="154"/>
      <c r="AN185" s="154"/>
      <c r="AO185" s="154"/>
      <c r="AP185" s="154"/>
    </row>
    <row r="186" spans="1:42" x14ac:dyDescent="0.2">
      <c r="A186" s="151"/>
      <c r="B186" s="155" t="s">
        <v>215</v>
      </c>
      <c r="C186" s="163"/>
      <c r="D186" s="163" t="s">
        <v>201</v>
      </c>
      <c r="E186" s="163"/>
      <c r="F186" s="155" t="s">
        <v>202</v>
      </c>
      <c r="G186" s="155"/>
      <c r="H186" s="163" t="s">
        <v>492</v>
      </c>
      <c r="I186" s="155"/>
      <c r="J186" s="155" t="s">
        <v>204</v>
      </c>
      <c r="K186" s="155"/>
      <c r="L186" s="163" t="s">
        <v>213</v>
      </c>
      <c r="M186" s="155"/>
      <c r="N186" s="163" t="s">
        <v>494</v>
      </c>
      <c r="O186" s="151"/>
      <c r="P186" s="163" t="s">
        <v>489</v>
      </c>
      <c r="Q186" s="151"/>
      <c r="R186" s="163" t="s">
        <v>490</v>
      </c>
      <c r="S186" s="151"/>
      <c r="T186" s="154"/>
      <c r="U186" s="154"/>
      <c r="V186" s="154"/>
      <c r="W186" s="154"/>
      <c r="X186" s="154"/>
      <c r="Y186" s="154"/>
      <c r="Z186" s="154"/>
      <c r="AA186" s="154"/>
      <c r="AB186" s="154"/>
      <c r="AC186" s="154"/>
      <c r="AD186" s="154"/>
      <c r="AE186" s="154"/>
      <c r="AF186" s="154"/>
      <c r="AG186" s="154"/>
      <c r="AH186" s="154"/>
      <c r="AI186" s="154"/>
      <c r="AJ186" s="154"/>
      <c r="AK186" s="154"/>
      <c r="AL186" s="154"/>
      <c r="AM186" s="154"/>
      <c r="AN186" s="154"/>
      <c r="AO186" s="154"/>
      <c r="AP186" s="154"/>
    </row>
    <row r="187" spans="1:42" x14ac:dyDescent="0.2">
      <c r="A187" s="153" t="s">
        <v>251</v>
      </c>
      <c r="B187" s="158" t="s">
        <v>183</v>
      </c>
      <c r="C187" s="158" t="s">
        <v>184</v>
      </c>
      <c r="D187" s="158" t="s">
        <v>183</v>
      </c>
      <c r="E187" s="158" t="s">
        <v>184</v>
      </c>
      <c r="F187" s="158" t="s">
        <v>183</v>
      </c>
      <c r="G187" s="158" t="s">
        <v>184</v>
      </c>
      <c r="H187" s="158" t="s">
        <v>183</v>
      </c>
      <c r="I187" s="158" t="s">
        <v>184</v>
      </c>
      <c r="J187" s="158" t="s">
        <v>183</v>
      </c>
      <c r="K187" s="158" t="s">
        <v>184</v>
      </c>
      <c r="L187" s="158" t="s">
        <v>183</v>
      </c>
      <c r="M187" s="158" t="s">
        <v>184</v>
      </c>
      <c r="N187" s="158" t="s">
        <v>183</v>
      </c>
      <c r="O187" s="158" t="s">
        <v>184</v>
      </c>
      <c r="P187" s="158" t="s">
        <v>183</v>
      </c>
      <c r="Q187" s="158" t="s">
        <v>184</v>
      </c>
      <c r="R187" s="158" t="s">
        <v>183</v>
      </c>
      <c r="S187" s="158" t="s">
        <v>184</v>
      </c>
      <c r="T187" s="154"/>
      <c r="U187" s="154"/>
      <c r="V187" s="154"/>
      <c r="W187" s="154"/>
      <c r="X187" s="154"/>
      <c r="Y187" s="154"/>
      <c r="Z187" s="154"/>
      <c r="AA187" s="154"/>
      <c r="AB187" s="154"/>
      <c r="AC187" s="154"/>
      <c r="AD187" s="154"/>
      <c r="AE187" s="154"/>
      <c r="AF187" s="154"/>
      <c r="AG187" s="154"/>
      <c r="AH187" s="154"/>
      <c r="AI187" s="154"/>
      <c r="AJ187" s="154"/>
      <c r="AK187" s="154"/>
      <c r="AL187" s="154"/>
      <c r="AM187" s="154"/>
      <c r="AN187" s="154"/>
      <c r="AO187" s="154"/>
      <c r="AP187" s="154"/>
    </row>
    <row r="188" spans="1:42" x14ac:dyDescent="0.2">
      <c r="A188" s="154"/>
      <c r="B188" s="154"/>
      <c r="C188" s="96"/>
      <c r="D188" s="96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  <c r="AC188" s="154"/>
      <c r="AD188" s="154"/>
      <c r="AE188" s="154"/>
      <c r="AF188" s="154"/>
      <c r="AG188" s="154"/>
      <c r="AH188" s="154"/>
      <c r="AI188" s="154"/>
      <c r="AJ188" s="154"/>
      <c r="AK188" s="154"/>
      <c r="AL188" s="154"/>
      <c r="AM188" s="154"/>
      <c r="AN188" s="154"/>
      <c r="AO188" s="154"/>
      <c r="AP188" s="154"/>
    </row>
    <row r="189" spans="1:42" x14ac:dyDescent="0.2">
      <c r="A189" s="151" t="s">
        <v>270</v>
      </c>
      <c r="B189" s="151"/>
      <c r="C189" s="152"/>
      <c r="D189" s="152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4"/>
      <c r="V189" s="154"/>
      <c r="W189" s="154"/>
      <c r="X189" s="154"/>
      <c r="Y189" s="154"/>
      <c r="Z189" s="154"/>
      <c r="AA189" s="154"/>
      <c r="AB189" s="154"/>
      <c r="AC189" s="154"/>
      <c r="AD189" s="154"/>
      <c r="AE189" s="154"/>
      <c r="AF189" s="154"/>
      <c r="AG189" s="154"/>
      <c r="AH189" s="154"/>
      <c r="AI189" s="154"/>
      <c r="AJ189" s="154"/>
      <c r="AK189" s="154"/>
      <c r="AL189" s="154"/>
      <c r="AM189" s="154"/>
      <c r="AN189" s="154"/>
      <c r="AO189" s="154"/>
      <c r="AP189" s="154"/>
    </row>
    <row r="190" spans="1:42" ht="14.25" x14ac:dyDescent="0.2">
      <c r="A190" s="151"/>
      <c r="B190" s="151"/>
      <c r="C190" s="152"/>
      <c r="D190" s="152"/>
      <c r="E190" s="151"/>
      <c r="F190" s="151" t="s">
        <v>498</v>
      </c>
      <c r="G190" s="163" t="s">
        <v>499</v>
      </c>
      <c r="H190" s="151"/>
      <c r="I190" s="163" t="s">
        <v>622</v>
      </c>
      <c r="J190" s="151"/>
      <c r="K190" s="151" t="s">
        <v>201</v>
      </c>
      <c r="L190" s="151"/>
      <c r="M190" s="151" t="s">
        <v>202</v>
      </c>
      <c r="N190" s="151"/>
      <c r="O190" s="151" t="s">
        <v>225</v>
      </c>
      <c r="P190" s="151"/>
      <c r="Q190" s="151" t="s">
        <v>226</v>
      </c>
      <c r="R190" s="151"/>
      <c r="S190" s="151"/>
      <c r="T190" s="151"/>
      <c r="U190" s="154"/>
      <c r="V190" s="154"/>
      <c r="W190" s="154"/>
      <c r="X190" s="154"/>
      <c r="Y190" s="154"/>
      <c r="Z190" s="154"/>
      <c r="AA190" s="154"/>
      <c r="AB190" s="154"/>
      <c r="AC190" s="154"/>
      <c r="AD190" s="154"/>
      <c r="AE190" s="154"/>
      <c r="AF190" s="154"/>
      <c r="AG190" s="154"/>
      <c r="AH190" s="154"/>
      <c r="AI190" s="154"/>
      <c r="AJ190" s="154"/>
      <c r="AK190" s="154"/>
      <c r="AL190" s="154"/>
      <c r="AM190" s="154"/>
      <c r="AN190" s="154"/>
      <c r="AO190" s="154"/>
      <c r="AP190" s="154"/>
    </row>
    <row r="191" spans="1:42" ht="14.25" x14ac:dyDescent="0.2">
      <c r="A191" s="153" t="s">
        <v>86</v>
      </c>
      <c r="B191" s="153" t="s">
        <v>514</v>
      </c>
      <c r="C191" s="153"/>
      <c r="D191" s="153" t="s">
        <v>142</v>
      </c>
      <c r="E191" s="164" t="s">
        <v>159</v>
      </c>
      <c r="F191" s="169" t="s">
        <v>81</v>
      </c>
      <c r="G191" s="158" t="s">
        <v>183</v>
      </c>
      <c r="H191" s="158" t="s">
        <v>184</v>
      </c>
      <c r="I191" s="158" t="s">
        <v>183</v>
      </c>
      <c r="J191" s="158" t="s">
        <v>184</v>
      </c>
      <c r="K191" s="158" t="s">
        <v>183</v>
      </c>
      <c r="L191" s="158" t="s">
        <v>184</v>
      </c>
      <c r="M191" s="158" t="s">
        <v>183</v>
      </c>
      <c r="N191" s="158" t="s">
        <v>184</v>
      </c>
      <c r="O191" s="158" t="s">
        <v>183</v>
      </c>
      <c r="P191" s="158" t="s">
        <v>184</v>
      </c>
      <c r="Q191" s="158" t="s">
        <v>183</v>
      </c>
      <c r="R191" s="158" t="s">
        <v>184</v>
      </c>
      <c r="S191" s="151"/>
      <c r="T191" s="163"/>
      <c r="U191" s="157"/>
      <c r="V191" s="157"/>
      <c r="W191" s="157"/>
      <c r="X191" s="157"/>
      <c r="Y191" s="157"/>
      <c r="Z191" s="157"/>
      <c r="AA191" s="154"/>
      <c r="AB191" s="154"/>
      <c r="AC191" s="154"/>
      <c r="AD191" s="154"/>
      <c r="AE191" s="154"/>
      <c r="AF191" s="154"/>
      <c r="AG191" s="154"/>
      <c r="AH191" s="154"/>
      <c r="AI191" s="154"/>
      <c r="AJ191" s="154"/>
      <c r="AK191" s="154"/>
      <c r="AL191" s="154"/>
      <c r="AM191" s="154"/>
      <c r="AN191" s="154"/>
      <c r="AO191" s="154"/>
      <c r="AP191" s="154"/>
    </row>
    <row r="192" spans="1:42" x14ac:dyDescent="0.2">
      <c r="A192" s="154"/>
      <c r="B192" s="154"/>
      <c r="C192" s="96"/>
      <c r="D192" s="96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4"/>
      <c r="AG192" s="154"/>
      <c r="AH192" s="154"/>
      <c r="AI192" s="154"/>
      <c r="AJ192" s="154"/>
      <c r="AK192" s="154"/>
      <c r="AL192" s="154"/>
      <c r="AM192" s="154"/>
      <c r="AN192" s="154"/>
      <c r="AO192" s="154"/>
      <c r="AP192" s="154"/>
    </row>
    <row r="193" spans="1:42" x14ac:dyDescent="0.2">
      <c r="A193" s="154"/>
      <c r="B193" s="154"/>
      <c r="C193" s="96"/>
      <c r="D193" s="96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  <c r="AC193" s="154"/>
      <c r="AD193" s="154"/>
      <c r="AE193" s="154"/>
      <c r="AF193" s="154"/>
      <c r="AG193" s="154"/>
      <c r="AH193" s="154"/>
      <c r="AI193" s="154"/>
      <c r="AJ193" s="154"/>
      <c r="AK193" s="154"/>
      <c r="AL193" s="154"/>
      <c r="AM193" s="154"/>
      <c r="AN193" s="154"/>
      <c r="AO193" s="154"/>
      <c r="AP193" s="154"/>
    </row>
    <row r="194" spans="1:42" x14ac:dyDescent="0.2">
      <c r="A194" s="154"/>
      <c r="B194" s="154"/>
      <c r="C194" s="96"/>
      <c r="D194" s="96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  <c r="AC194" s="154"/>
      <c r="AD194" s="154"/>
      <c r="AE194" s="154"/>
      <c r="AF194" s="154"/>
      <c r="AG194" s="154"/>
      <c r="AH194" s="154"/>
      <c r="AI194" s="154"/>
      <c r="AJ194" s="154"/>
      <c r="AK194" s="154"/>
      <c r="AL194" s="154"/>
      <c r="AM194" s="154"/>
      <c r="AN194" s="154"/>
      <c r="AO194" s="154"/>
      <c r="AP194" s="154"/>
    </row>
    <row r="195" spans="1:42" ht="14.25" x14ac:dyDescent="0.2">
      <c r="A195" s="163" t="s">
        <v>501</v>
      </c>
      <c r="B195" s="154"/>
      <c r="C195" s="96"/>
      <c r="D195" s="96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  <c r="AC195" s="154"/>
      <c r="AD195" s="154"/>
      <c r="AE195" s="154"/>
      <c r="AF195" s="154"/>
      <c r="AG195" s="154"/>
      <c r="AH195" s="154"/>
      <c r="AI195" s="154"/>
      <c r="AJ195" s="154"/>
      <c r="AK195" s="154"/>
      <c r="AL195" s="154"/>
      <c r="AM195" s="154"/>
      <c r="AN195" s="154"/>
      <c r="AO195" s="154"/>
      <c r="AP195" s="154"/>
    </row>
    <row r="196" spans="1:42" x14ac:dyDescent="0.2">
      <c r="A196" s="154"/>
      <c r="B196" s="154"/>
      <c r="C196" s="154"/>
      <c r="D196" s="163" t="s">
        <v>500</v>
      </c>
      <c r="E196" s="152"/>
      <c r="F196" s="152"/>
      <c r="G196" s="151"/>
      <c r="H196" s="151"/>
      <c r="I196" s="151"/>
      <c r="J196" s="151"/>
      <c r="K196" s="151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  <c r="AC196" s="154"/>
      <c r="AD196" s="154"/>
      <c r="AE196" s="154"/>
      <c r="AF196" s="154"/>
      <c r="AG196" s="154"/>
      <c r="AH196" s="154"/>
      <c r="AI196" s="154"/>
      <c r="AJ196" s="154"/>
      <c r="AK196" s="154"/>
      <c r="AL196" s="154"/>
      <c r="AM196" s="154"/>
      <c r="AN196" s="154"/>
      <c r="AO196" s="154"/>
      <c r="AP196" s="154"/>
    </row>
    <row r="197" spans="1:42" x14ac:dyDescent="0.2">
      <c r="A197" s="153" t="s">
        <v>86</v>
      </c>
      <c r="B197" s="153" t="s">
        <v>514</v>
      </c>
      <c r="C197" s="154"/>
      <c r="D197" s="170">
        <v>1</v>
      </c>
      <c r="E197" s="171">
        <v>2</v>
      </c>
      <c r="F197" s="171">
        <v>3</v>
      </c>
      <c r="G197" s="170">
        <v>4</v>
      </c>
      <c r="H197" s="170">
        <v>5</v>
      </c>
      <c r="I197" s="170">
        <v>6</v>
      </c>
      <c r="J197" s="170">
        <v>7</v>
      </c>
      <c r="K197" s="170">
        <v>8</v>
      </c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  <c r="AC197" s="154"/>
      <c r="AD197" s="154"/>
      <c r="AE197" s="154"/>
      <c r="AF197" s="154"/>
      <c r="AG197" s="154"/>
      <c r="AH197" s="154"/>
      <c r="AI197" s="154"/>
      <c r="AJ197" s="154"/>
      <c r="AK197" s="154"/>
      <c r="AL197" s="154"/>
      <c r="AM197" s="154"/>
      <c r="AN197" s="154"/>
      <c r="AO197" s="154"/>
      <c r="AP197" s="154"/>
    </row>
    <row r="198" spans="1:42" x14ac:dyDescent="0.2">
      <c r="A198" s="154"/>
      <c r="B198" s="154"/>
      <c r="C198" s="96"/>
      <c r="D198" s="96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  <c r="AC198" s="154"/>
      <c r="AD198" s="154"/>
      <c r="AE198" s="154"/>
      <c r="AF198" s="154"/>
      <c r="AG198" s="154"/>
      <c r="AH198" s="154"/>
      <c r="AI198" s="154"/>
      <c r="AJ198" s="154"/>
      <c r="AK198" s="154"/>
      <c r="AL198" s="154"/>
      <c r="AM198" s="154"/>
      <c r="AN198" s="154"/>
      <c r="AO198" s="154"/>
      <c r="AP198" s="154"/>
    </row>
    <row r="199" spans="1:42" x14ac:dyDescent="0.2">
      <c r="A199" s="154"/>
      <c r="B199" s="154"/>
      <c r="C199" s="96"/>
      <c r="D199" s="96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  <c r="AC199" s="154"/>
      <c r="AD199" s="154"/>
      <c r="AE199" s="154"/>
      <c r="AF199" s="154"/>
      <c r="AG199" s="154"/>
      <c r="AH199" s="154"/>
      <c r="AI199" s="154"/>
      <c r="AJ199" s="154"/>
      <c r="AK199" s="154"/>
      <c r="AL199" s="154"/>
      <c r="AM199" s="154"/>
      <c r="AN199" s="154"/>
      <c r="AO199" s="154"/>
      <c r="AP199" s="154"/>
    </row>
    <row r="200" spans="1:42" x14ac:dyDescent="0.2">
      <c r="A200" s="151" t="s">
        <v>486</v>
      </c>
      <c r="B200" s="154"/>
      <c r="C200" s="96"/>
      <c r="D200" s="96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4"/>
      <c r="AG200" s="154"/>
      <c r="AH200" s="154"/>
      <c r="AI200" s="154"/>
      <c r="AJ200" s="154"/>
      <c r="AK200" s="154"/>
      <c r="AL200" s="154"/>
      <c r="AM200" s="154"/>
      <c r="AN200" s="154"/>
      <c r="AO200" s="154"/>
      <c r="AP200" s="154"/>
    </row>
    <row r="201" spans="1:42" x14ac:dyDescent="0.2">
      <c r="A201" s="154"/>
      <c r="B201" s="154"/>
      <c r="C201" s="154"/>
      <c r="D201" s="163" t="s">
        <v>260</v>
      </c>
      <c r="F201" s="151" t="s">
        <v>261</v>
      </c>
      <c r="H201" s="151" t="s">
        <v>201</v>
      </c>
      <c r="J201" s="151" t="s">
        <v>202</v>
      </c>
      <c r="K201" s="151"/>
      <c r="L201" s="151" t="s">
        <v>225</v>
      </c>
      <c r="N201" s="151" t="s">
        <v>226</v>
      </c>
      <c r="O201" s="151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4"/>
      <c r="AG201" s="154"/>
      <c r="AH201" s="154"/>
      <c r="AI201" s="154"/>
      <c r="AJ201" s="154"/>
      <c r="AK201" s="154"/>
      <c r="AL201" s="154"/>
      <c r="AM201" s="154"/>
      <c r="AN201" s="154"/>
      <c r="AO201" s="154"/>
      <c r="AP201" s="154"/>
    </row>
    <row r="202" spans="1:42" x14ac:dyDescent="0.2">
      <c r="A202" s="153" t="s">
        <v>513</v>
      </c>
      <c r="B202" s="153" t="s">
        <v>485</v>
      </c>
      <c r="C202" s="154"/>
      <c r="D202" s="158" t="s">
        <v>183</v>
      </c>
      <c r="E202" s="158" t="s">
        <v>184</v>
      </c>
      <c r="F202" s="158" t="s">
        <v>183</v>
      </c>
      <c r="G202" s="158" t="s">
        <v>184</v>
      </c>
      <c r="H202" s="158" t="s">
        <v>183</v>
      </c>
      <c r="I202" s="158" t="s">
        <v>184</v>
      </c>
      <c r="J202" s="158" t="s">
        <v>183</v>
      </c>
      <c r="K202" s="158" t="s">
        <v>184</v>
      </c>
      <c r="L202" s="158" t="s">
        <v>183</v>
      </c>
      <c r="M202" s="158" t="s">
        <v>184</v>
      </c>
      <c r="N202" s="158" t="s">
        <v>183</v>
      </c>
      <c r="O202" s="158" t="s">
        <v>184</v>
      </c>
      <c r="P202" s="158"/>
      <c r="Q202" s="158"/>
      <c r="R202" s="158"/>
      <c r="S202" s="158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4"/>
      <c r="AG202" s="154"/>
      <c r="AH202" s="154"/>
      <c r="AI202" s="154"/>
      <c r="AJ202" s="154"/>
      <c r="AK202" s="154"/>
      <c r="AL202" s="154"/>
      <c r="AM202" s="154"/>
      <c r="AN202" s="154"/>
      <c r="AO202" s="154"/>
      <c r="AP202" s="154"/>
    </row>
    <row r="203" spans="1:42" x14ac:dyDescent="0.2">
      <c r="A203" s="154"/>
      <c r="B203" s="154"/>
      <c r="C203" s="96"/>
      <c r="D203" s="96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</row>
    <row r="204" spans="1:42" x14ac:dyDescent="0.2">
      <c r="A204" s="154"/>
      <c r="B204" s="154"/>
      <c r="C204" s="96"/>
      <c r="D204" s="96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  <c r="AE204" s="154"/>
      <c r="AF204" s="154"/>
      <c r="AG204" s="154"/>
      <c r="AH204" s="154"/>
      <c r="AI204" s="154"/>
      <c r="AJ204" s="154"/>
      <c r="AK204" s="154"/>
      <c r="AL204" s="154"/>
      <c r="AM204" s="154"/>
      <c r="AN204" s="154"/>
      <c r="AO204" s="154"/>
      <c r="AP204" s="154"/>
    </row>
    <row r="205" spans="1:42" x14ac:dyDescent="0.2">
      <c r="A205" s="154"/>
      <c r="B205" s="154"/>
      <c r="C205" s="96"/>
      <c r="D205" s="96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  <c r="AC205" s="154"/>
      <c r="AD205" s="154"/>
      <c r="AE205" s="154"/>
      <c r="AF205" s="154"/>
      <c r="AG205" s="154"/>
      <c r="AH205" s="154"/>
      <c r="AI205" s="154"/>
      <c r="AJ205" s="154"/>
      <c r="AK205" s="154"/>
      <c r="AL205" s="154"/>
      <c r="AM205" s="154"/>
      <c r="AN205" s="154"/>
      <c r="AO205" s="154"/>
      <c r="AP205" s="154"/>
    </row>
    <row r="206" spans="1:42" x14ac:dyDescent="0.2">
      <c r="A206" s="151" t="s">
        <v>273</v>
      </c>
      <c r="B206" s="151"/>
      <c r="C206" s="152"/>
      <c r="D206" s="152"/>
      <c r="E206" s="151"/>
      <c r="F206" s="151"/>
      <c r="G206" s="151"/>
      <c r="H206" s="151"/>
      <c r="I206" s="151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  <c r="AE206" s="154"/>
      <c r="AF206" s="154"/>
      <c r="AG206" s="154"/>
      <c r="AH206" s="154"/>
      <c r="AI206" s="154"/>
      <c r="AJ206" s="154"/>
      <c r="AK206" s="154"/>
      <c r="AL206" s="154"/>
      <c r="AM206" s="154"/>
      <c r="AN206" s="154"/>
      <c r="AO206" s="154"/>
      <c r="AP206" s="154"/>
    </row>
    <row r="207" spans="1:42" ht="14.25" x14ac:dyDescent="0.2">
      <c r="A207" s="151"/>
      <c r="B207" s="151"/>
      <c r="C207" s="152"/>
      <c r="D207" s="152" t="s">
        <v>502</v>
      </c>
      <c r="E207" s="151" t="s">
        <v>503</v>
      </c>
      <c r="F207" s="163" t="s">
        <v>504</v>
      </c>
      <c r="G207" s="151"/>
      <c r="H207" s="163" t="s">
        <v>505</v>
      </c>
      <c r="I207" s="151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  <c r="AC207" s="154"/>
      <c r="AD207" s="154"/>
      <c r="AE207" s="154"/>
      <c r="AF207" s="154"/>
      <c r="AG207" s="154"/>
      <c r="AH207" s="154"/>
      <c r="AI207" s="154"/>
      <c r="AJ207" s="154"/>
      <c r="AK207" s="154"/>
      <c r="AL207" s="154"/>
      <c r="AM207" s="154"/>
      <c r="AN207" s="154"/>
      <c r="AO207" s="154"/>
      <c r="AP207" s="154"/>
    </row>
    <row r="208" spans="1:42" x14ac:dyDescent="0.2">
      <c r="A208" s="153" t="s">
        <v>512</v>
      </c>
      <c r="B208" s="153" t="s">
        <v>143</v>
      </c>
      <c r="C208" s="167"/>
      <c r="D208" s="167" t="s">
        <v>142</v>
      </c>
      <c r="E208" s="153" t="s">
        <v>142</v>
      </c>
      <c r="F208" s="158" t="s">
        <v>183</v>
      </c>
      <c r="G208" s="158" t="s">
        <v>184</v>
      </c>
      <c r="H208" s="158" t="s">
        <v>183</v>
      </c>
      <c r="I208" s="158" t="s">
        <v>184</v>
      </c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  <c r="AC208" s="154"/>
      <c r="AD208" s="154"/>
      <c r="AE208" s="154"/>
      <c r="AF208" s="154"/>
      <c r="AG208" s="154"/>
      <c r="AH208" s="154"/>
      <c r="AI208" s="154"/>
      <c r="AJ208" s="154"/>
      <c r="AK208" s="154"/>
      <c r="AL208" s="154"/>
      <c r="AM208" s="154"/>
      <c r="AN208" s="154"/>
      <c r="AO208" s="154"/>
      <c r="AP208" s="154"/>
    </row>
    <row r="209" spans="1:42" x14ac:dyDescent="0.2">
      <c r="A209" s="154"/>
      <c r="B209" s="154"/>
      <c r="C209" s="96"/>
      <c r="D209" s="96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  <c r="AC209" s="154"/>
      <c r="AD209" s="154"/>
      <c r="AE209" s="154"/>
      <c r="AF209" s="154"/>
      <c r="AG209" s="154"/>
      <c r="AH209" s="154"/>
      <c r="AI209" s="154"/>
      <c r="AJ209" s="154"/>
      <c r="AK209" s="154"/>
      <c r="AL209" s="154"/>
      <c r="AM209" s="154"/>
      <c r="AN209" s="154"/>
      <c r="AO209" s="154"/>
      <c r="AP209" s="154"/>
    </row>
    <row r="210" spans="1:42" x14ac:dyDescent="0.2">
      <c r="A210" s="154"/>
      <c r="B210" s="154"/>
      <c r="C210" s="96"/>
      <c r="D210" s="96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  <c r="AC210" s="154"/>
      <c r="AD210" s="154"/>
      <c r="AE210" s="154"/>
      <c r="AF210" s="154"/>
      <c r="AG210" s="154"/>
      <c r="AH210" s="154"/>
      <c r="AI210" s="154"/>
      <c r="AJ210" s="154"/>
      <c r="AK210" s="154"/>
      <c r="AL210" s="154"/>
      <c r="AM210" s="154"/>
      <c r="AN210" s="154"/>
      <c r="AO210" s="154"/>
      <c r="AP210" s="154"/>
    </row>
    <row r="211" spans="1:42" x14ac:dyDescent="0.2">
      <c r="A211" s="154"/>
      <c r="B211" s="154"/>
      <c r="C211" s="96"/>
      <c r="D211" s="96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  <c r="AC211" s="154"/>
      <c r="AD211" s="154"/>
      <c r="AE211" s="154"/>
      <c r="AF211" s="154"/>
      <c r="AG211" s="154"/>
      <c r="AH211" s="154"/>
      <c r="AI211" s="154"/>
      <c r="AJ211" s="154"/>
      <c r="AK211" s="154"/>
      <c r="AL211" s="154"/>
      <c r="AM211" s="154"/>
      <c r="AN211" s="154"/>
      <c r="AO211" s="154"/>
      <c r="AP211" s="154"/>
    </row>
    <row r="212" spans="1:42" x14ac:dyDescent="0.2">
      <c r="A212" s="154"/>
      <c r="B212" s="154"/>
      <c r="C212" s="96"/>
      <c r="D212" s="96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  <c r="AC212" s="154"/>
      <c r="AD212" s="154"/>
      <c r="AE212" s="154"/>
      <c r="AF212" s="154"/>
      <c r="AG212" s="154"/>
      <c r="AH212" s="154"/>
      <c r="AI212" s="154"/>
      <c r="AJ212" s="154"/>
      <c r="AK212" s="154"/>
      <c r="AL212" s="154"/>
      <c r="AM212" s="154"/>
      <c r="AN212" s="154"/>
      <c r="AO212" s="154"/>
      <c r="AP212" s="154"/>
    </row>
    <row r="213" spans="1:42" x14ac:dyDescent="0.2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96"/>
      <c r="N213" s="96"/>
      <c r="O213" s="96"/>
      <c r="P213" s="96"/>
      <c r="Q213" s="96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  <c r="AC213" s="154"/>
      <c r="AD213" s="154"/>
      <c r="AE213" s="154"/>
      <c r="AF213" s="154"/>
      <c r="AG213" s="154"/>
      <c r="AH213" s="154"/>
      <c r="AI213" s="154"/>
      <c r="AJ213" s="154"/>
      <c r="AK213" s="154"/>
      <c r="AL213" s="154"/>
      <c r="AM213" s="154"/>
      <c r="AN213" s="154"/>
      <c r="AO213" s="154"/>
      <c r="AP213" s="154"/>
    </row>
    <row r="214" spans="1:42" x14ac:dyDescent="0.2">
      <c r="A214" s="175" t="s">
        <v>506</v>
      </c>
      <c r="B214" s="154"/>
      <c r="D214" s="156" t="s">
        <v>183</v>
      </c>
      <c r="E214" s="156" t="s">
        <v>184</v>
      </c>
      <c r="F214" s="153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  <c r="AC214" s="154"/>
      <c r="AD214" s="154"/>
      <c r="AE214" s="154"/>
      <c r="AF214" s="154"/>
      <c r="AG214" s="154"/>
      <c r="AH214" s="154"/>
      <c r="AI214" s="154"/>
      <c r="AJ214" s="154"/>
      <c r="AK214" s="154"/>
      <c r="AL214" s="154"/>
      <c r="AM214" s="154"/>
      <c r="AN214" s="154"/>
      <c r="AO214" s="154"/>
      <c r="AP214" s="154"/>
    </row>
    <row r="215" spans="1:42" x14ac:dyDescent="0.2">
      <c r="A215" s="154" t="s">
        <v>215</v>
      </c>
      <c r="B215" s="154"/>
      <c r="D215" s="177"/>
      <c r="E215" s="160"/>
      <c r="F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  <c r="AC215" s="154"/>
      <c r="AD215" s="154"/>
      <c r="AE215" s="154"/>
      <c r="AF215" s="154"/>
      <c r="AG215" s="154"/>
      <c r="AH215" s="154"/>
      <c r="AI215" s="154"/>
      <c r="AJ215" s="154"/>
      <c r="AK215" s="154"/>
      <c r="AL215" s="154"/>
      <c r="AM215" s="154"/>
      <c r="AN215" s="154"/>
      <c r="AO215" s="154"/>
      <c r="AP215" s="154"/>
    </row>
    <row r="216" spans="1:42" x14ac:dyDescent="0.2">
      <c r="A216" s="154" t="s">
        <v>272</v>
      </c>
      <c r="B216" s="154"/>
      <c r="D216" s="177"/>
      <c r="E216" s="160"/>
      <c r="F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  <c r="AE216" s="154"/>
      <c r="AF216" s="154"/>
      <c r="AG216" s="154"/>
      <c r="AH216" s="154"/>
      <c r="AI216" s="154"/>
      <c r="AJ216" s="154"/>
      <c r="AK216" s="154"/>
      <c r="AL216" s="154"/>
      <c r="AM216" s="154"/>
      <c r="AN216" s="154"/>
      <c r="AO216" s="154"/>
      <c r="AP216" s="154"/>
    </row>
    <row r="217" spans="1:42" x14ac:dyDescent="0.2">
      <c r="A217" s="154" t="s">
        <v>271</v>
      </c>
      <c r="B217" s="154"/>
      <c r="D217" s="177"/>
      <c r="E217" s="160"/>
      <c r="F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  <c r="AC217" s="154"/>
      <c r="AD217" s="154"/>
      <c r="AE217" s="154"/>
      <c r="AF217" s="154"/>
      <c r="AG217" s="154"/>
      <c r="AH217" s="154"/>
      <c r="AI217" s="154"/>
      <c r="AJ217" s="154"/>
      <c r="AK217" s="154"/>
      <c r="AL217" s="154"/>
      <c r="AM217" s="154"/>
      <c r="AN217" s="154"/>
      <c r="AO217" s="154"/>
      <c r="AP217" s="154"/>
    </row>
    <row r="218" spans="1:42" x14ac:dyDescent="0.2">
      <c r="A218" s="154" t="s">
        <v>238</v>
      </c>
      <c r="B218" s="154"/>
      <c r="D218" s="177"/>
      <c r="E218" s="160"/>
      <c r="F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  <c r="AC218" s="154"/>
      <c r="AD218" s="154"/>
      <c r="AE218" s="154"/>
      <c r="AF218" s="154"/>
      <c r="AG218" s="154"/>
      <c r="AH218" s="154"/>
      <c r="AI218" s="154"/>
      <c r="AJ218" s="154"/>
      <c r="AK218" s="154"/>
      <c r="AL218" s="154"/>
      <c r="AM218" s="154"/>
      <c r="AN218" s="154"/>
      <c r="AO218" s="154"/>
      <c r="AP218" s="154"/>
    </row>
    <row r="219" spans="1:42" x14ac:dyDescent="0.2">
      <c r="A219" s="154" t="s">
        <v>239</v>
      </c>
      <c r="B219" s="154"/>
      <c r="D219" s="177"/>
      <c r="E219" s="160"/>
      <c r="F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  <c r="AC219" s="154"/>
      <c r="AD219" s="154"/>
      <c r="AE219" s="154"/>
      <c r="AF219" s="154"/>
      <c r="AG219" s="154"/>
      <c r="AH219" s="154"/>
      <c r="AI219" s="154"/>
      <c r="AJ219" s="154"/>
      <c r="AK219" s="154"/>
      <c r="AL219" s="154"/>
      <c r="AM219" s="154"/>
      <c r="AN219" s="154"/>
      <c r="AO219" s="154"/>
      <c r="AP219" s="154"/>
    </row>
    <row r="220" spans="1:42" x14ac:dyDescent="0.2">
      <c r="A220" s="154" t="s">
        <v>240</v>
      </c>
      <c r="B220" s="154"/>
      <c r="D220" s="177"/>
      <c r="E220" s="160"/>
      <c r="F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  <c r="AC220" s="154"/>
      <c r="AD220" s="154"/>
      <c r="AE220" s="154"/>
      <c r="AF220" s="154"/>
      <c r="AG220" s="154"/>
      <c r="AH220" s="154"/>
      <c r="AI220" s="154"/>
      <c r="AJ220" s="154"/>
      <c r="AK220" s="154"/>
      <c r="AL220" s="154"/>
      <c r="AM220" s="154"/>
      <c r="AN220" s="154"/>
      <c r="AO220" s="154"/>
      <c r="AP220" s="154"/>
    </row>
    <row r="221" spans="1:42" x14ac:dyDescent="0.2">
      <c r="A221" s="154" t="s">
        <v>241</v>
      </c>
      <c r="B221" s="154"/>
      <c r="D221" s="177"/>
      <c r="E221" s="160"/>
      <c r="F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  <c r="AC221" s="154"/>
      <c r="AD221" s="154"/>
      <c r="AE221" s="154"/>
      <c r="AF221" s="154"/>
      <c r="AG221" s="154"/>
      <c r="AH221" s="154"/>
      <c r="AI221" s="154"/>
      <c r="AJ221" s="154"/>
      <c r="AK221" s="154"/>
      <c r="AL221" s="154"/>
      <c r="AM221" s="154"/>
      <c r="AN221" s="154"/>
      <c r="AO221" s="154"/>
      <c r="AP221" s="154"/>
    </row>
    <row r="222" spans="1:42" x14ac:dyDescent="0.2">
      <c r="A222" s="154" t="s">
        <v>254</v>
      </c>
      <c r="B222" s="154"/>
      <c r="D222" s="177"/>
      <c r="E222" s="160"/>
      <c r="F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54"/>
      <c r="AH222" s="154"/>
      <c r="AI222" s="154"/>
      <c r="AJ222" s="154"/>
      <c r="AK222" s="154"/>
      <c r="AL222" s="154"/>
      <c r="AM222" s="154"/>
      <c r="AN222" s="154"/>
      <c r="AO222" s="154"/>
      <c r="AP222" s="154"/>
    </row>
    <row r="223" spans="1:42" x14ac:dyDescent="0.2">
      <c r="A223" s="154" t="s">
        <v>255</v>
      </c>
      <c r="B223" s="154"/>
      <c r="D223" s="177"/>
      <c r="E223" s="160"/>
      <c r="F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  <c r="AE223" s="154"/>
      <c r="AF223" s="154"/>
      <c r="AG223" s="154"/>
      <c r="AH223" s="154"/>
      <c r="AI223" s="154"/>
      <c r="AJ223" s="154"/>
      <c r="AK223" s="154"/>
      <c r="AL223" s="154"/>
      <c r="AM223" s="154"/>
      <c r="AN223" s="154"/>
      <c r="AO223" s="154"/>
      <c r="AP223" s="154"/>
    </row>
    <row r="224" spans="1:42" ht="14.25" x14ac:dyDescent="0.2">
      <c r="A224" s="157" t="s">
        <v>519</v>
      </c>
      <c r="B224" s="154"/>
      <c r="D224" s="177"/>
      <c r="E224" s="160"/>
      <c r="F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  <c r="AG224" s="154"/>
      <c r="AH224" s="154"/>
      <c r="AI224" s="154"/>
      <c r="AJ224" s="154"/>
      <c r="AK224" s="154"/>
      <c r="AL224" s="154"/>
      <c r="AM224" s="154"/>
      <c r="AN224" s="154"/>
      <c r="AO224" s="154"/>
      <c r="AP224" s="154"/>
    </row>
    <row r="225" spans="1:42" x14ac:dyDescent="0.2">
      <c r="A225" s="157" t="s">
        <v>258</v>
      </c>
      <c r="B225" s="154"/>
      <c r="D225" s="177"/>
      <c r="E225" s="160"/>
      <c r="F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F225" s="154"/>
      <c r="AG225" s="154"/>
      <c r="AH225" s="154"/>
      <c r="AI225" s="154"/>
      <c r="AJ225" s="154"/>
      <c r="AK225" s="154"/>
      <c r="AL225" s="154"/>
      <c r="AM225" s="154"/>
      <c r="AN225" s="154"/>
      <c r="AO225" s="154"/>
      <c r="AP225" s="154"/>
    </row>
    <row r="226" spans="1:42" x14ac:dyDescent="0.2">
      <c r="A226" s="157" t="s">
        <v>259</v>
      </c>
      <c r="B226" s="154"/>
      <c r="D226" s="177"/>
      <c r="E226" s="160"/>
      <c r="F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54"/>
      <c r="AH226" s="154"/>
      <c r="AI226" s="154"/>
      <c r="AJ226" s="154"/>
      <c r="AK226" s="154"/>
      <c r="AL226" s="154"/>
      <c r="AM226" s="154"/>
      <c r="AN226" s="154"/>
      <c r="AO226" s="154"/>
      <c r="AP226" s="154"/>
    </row>
    <row r="227" spans="1:42" x14ac:dyDescent="0.2">
      <c r="A227" s="154" t="s">
        <v>257</v>
      </c>
      <c r="B227" s="154"/>
      <c r="C227" s="160"/>
      <c r="D227" s="177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F227" s="154"/>
      <c r="AG227" s="154"/>
      <c r="AH227" s="154"/>
      <c r="AI227" s="154"/>
      <c r="AJ227" s="154"/>
      <c r="AK227" s="154"/>
      <c r="AL227" s="154"/>
      <c r="AM227" s="154"/>
      <c r="AN227" s="154"/>
      <c r="AO227" s="154"/>
      <c r="AP227" s="154"/>
    </row>
    <row r="228" spans="1:42" x14ac:dyDescent="0.2">
      <c r="A228" s="157" t="s">
        <v>515</v>
      </c>
      <c r="B228" s="154"/>
      <c r="C228" s="160"/>
      <c r="D228" s="177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F228" s="154"/>
      <c r="AG228" s="154"/>
      <c r="AH228" s="154"/>
      <c r="AI228" s="154"/>
      <c r="AJ228" s="154"/>
      <c r="AK228" s="154"/>
      <c r="AL228" s="154"/>
      <c r="AM228" s="154"/>
      <c r="AN228" s="154"/>
      <c r="AO228" s="154"/>
      <c r="AP228" s="154"/>
    </row>
    <row r="229" spans="1:42" x14ac:dyDescent="0.2">
      <c r="A229" s="157" t="s">
        <v>516</v>
      </c>
      <c r="B229" s="154"/>
      <c r="C229" s="160"/>
      <c r="D229" s="177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  <c r="AE229" s="154"/>
      <c r="AF229" s="154"/>
      <c r="AG229" s="154"/>
      <c r="AH229" s="154"/>
      <c r="AI229" s="154"/>
      <c r="AJ229" s="154"/>
      <c r="AK229" s="154"/>
      <c r="AL229" s="154"/>
      <c r="AM229" s="154"/>
      <c r="AN229" s="154"/>
      <c r="AO229" s="154"/>
      <c r="AP229" s="154"/>
    </row>
    <row r="230" spans="1:42" x14ac:dyDescent="0.2">
      <c r="A230" s="157" t="s">
        <v>517</v>
      </c>
      <c r="B230" s="154"/>
      <c r="C230" s="160"/>
      <c r="D230" s="177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4"/>
      <c r="AH230" s="154"/>
      <c r="AI230" s="154"/>
      <c r="AJ230" s="154"/>
      <c r="AK230" s="154"/>
      <c r="AL230" s="154"/>
      <c r="AM230" s="154"/>
      <c r="AN230" s="154"/>
      <c r="AO230" s="154"/>
      <c r="AP230" s="154"/>
    </row>
    <row r="231" spans="1:42" x14ac:dyDescent="0.2">
      <c r="A231" s="157" t="s">
        <v>518</v>
      </c>
      <c r="B231" s="154"/>
      <c r="C231" s="160"/>
      <c r="D231" s="177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  <c r="AF231" s="154"/>
      <c r="AG231" s="154"/>
      <c r="AH231" s="154"/>
      <c r="AI231" s="154"/>
      <c r="AJ231" s="154"/>
      <c r="AK231" s="154"/>
      <c r="AL231" s="154"/>
      <c r="AM231" s="154"/>
      <c r="AN231" s="154"/>
      <c r="AO231" s="154"/>
      <c r="AP231" s="154"/>
    </row>
    <row r="232" spans="1:42" x14ac:dyDescent="0.2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4"/>
      <c r="AG232" s="154"/>
      <c r="AH232" s="154"/>
      <c r="AI232" s="154"/>
      <c r="AJ232" s="154"/>
      <c r="AK232" s="154"/>
      <c r="AL232" s="154"/>
      <c r="AM232" s="154"/>
      <c r="AN232" s="154"/>
      <c r="AO232" s="154"/>
      <c r="AP232" s="154"/>
    </row>
    <row r="233" spans="1:42" x14ac:dyDescent="0.2">
      <c r="A233" s="151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4"/>
      <c r="AG233" s="154"/>
      <c r="AH233" s="154"/>
      <c r="AI233" s="154"/>
      <c r="AJ233" s="154"/>
      <c r="AK233" s="154"/>
      <c r="AL233" s="154"/>
      <c r="AM233" s="154"/>
      <c r="AN233" s="154"/>
      <c r="AO233" s="154"/>
      <c r="AP233" s="154"/>
    </row>
    <row r="234" spans="1:42" x14ac:dyDescent="0.2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  <c r="AG234" s="154"/>
      <c r="AH234" s="154"/>
      <c r="AI234" s="154"/>
      <c r="AJ234" s="154"/>
      <c r="AK234" s="154"/>
      <c r="AL234" s="154"/>
      <c r="AM234" s="154"/>
      <c r="AN234" s="154"/>
      <c r="AO234" s="154"/>
      <c r="AP234" s="154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E6DF-AB0A-4703-B54F-A36734F9B956}">
  <sheetPr codeName="Sheet18"/>
  <dimension ref="A1:J139"/>
  <sheetViews>
    <sheetView topLeftCell="A40" workbookViewId="0">
      <selection activeCell="A73" sqref="A73"/>
    </sheetView>
  </sheetViews>
  <sheetFormatPr defaultRowHeight="12.75" x14ac:dyDescent="0.2"/>
  <cols>
    <col min="2" max="2" width="23.5703125" customWidth="1"/>
    <col min="3" max="3" width="15.5703125" customWidth="1"/>
    <col min="4" max="4" width="19.5703125" customWidth="1"/>
  </cols>
  <sheetData>
    <row r="1" spans="1:9" x14ac:dyDescent="0.2">
      <c r="A1" s="9" t="s">
        <v>390</v>
      </c>
    </row>
    <row r="2" spans="1:9" x14ac:dyDescent="0.2">
      <c r="A2" s="9"/>
    </row>
    <row r="3" spans="1:9" x14ac:dyDescent="0.2">
      <c r="A3" t="s">
        <v>320</v>
      </c>
      <c r="B3">
        <v>2</v>
      </c>
      <c r="C3" t="s">
        <v>321</v>
      </c>
    </row>
    <row r="4" spans="1:9" x14ac:dyDescent="0.2">
      <c r="A4" t="s">
        <v>392</v>
      </c>
      <c r="B4">
        <v>1E-4</v>
      </c>
      <c r="C4" t="s">
        <v>393</v>
      </c>
    </row>
    <row r="5" spans="1:9" x14ac:dyDescent="0.2">
      <c r="A5">
        <f>COUNT(A7:A34)</f>
        <v>28</v>
      </c>
      <c r="B5" t="s">
        <v>316</v>
      </c>
    </row>
    <row r="6" spans="1:9" x14ac:dyDescent="0.2">
      <c r="A6" t="s">
        <v>315</v>
      </c>
      <c r="B6" s="93" t="s">
        <v>314</v>
      </c>
      <c r="C6" s="1" t="s">
        <v>319</v>
      </c>
      <c r="D6" t="s">
        <v>313</v>
      </c>
      <c r="E6" s="93" t="s">
        <v>310</v>
      </c>
      <c r="F6" s="93" t="s">
        <v>184</v>
      </c>
      <c r="G6" s="93" t="s">
        <v>317</v>
      </c>
      <c r="H6" s="93" t="s">
        <v>311</v>
      </c>
      <c r="I6" s="93" t="s">
        <v>312</v>
      </c>
    </row>
    <row r="7" spans="1:9" x14ac:dyDescent="0.2">
      <c r="A7">
        <v>1</v>
      </c>
      <c r="B7">
        <v>0</v>
      </c>
      <c r="C7" t="s">
        <v>309</v>
      </c>
      <c r="D7" t="s">
        <v>43</v>
      </c>
    </row>
    <row r="8" spans="1:9" x14ac:dyDescent="0.2">
      <c r="A8">
        <v>2</v>
      </c>
      <c r="B8">
        <v>1</v>
      </c>
      <c r="C8" t="s">
        <v>274</v>
      </c>
      <c r="D8" t="s">
        <v>1</v>
      </c>
      <c r="E8">
        <v>47.9</v>
      </c>
      <c r="F8">
        <v>0.9</v>
      </c>
      <c r="G8">
        <v>0.26900000000000002</v>
      </c>
      <c r="H8">
        <v>9.9</v>
      </c>
      <c r="I8">
        <v>274</v>
      </c>
    </row>
    <row r="9" spans="1:9" x14ac:dyDescent="0.2">
      <c r="A9">
        <v>3</v>
      </c>
      <c r="B9">
        <v>1</v>
      </c>
      <c r="C9" t="s">
        <v>275</v>
      </c>
      <c r="D9" t="s">
        <v>2</v>
      </c>
      <c r="E9">
        <v>1002</v>
      </c>
      <c r="F9">
        <v>0.64</v>
      </c>
      <c r="G9">
        <v>0.22</v>
      </c>
      <c r="H9">
        <v>243</v>
      </c>
      <c r="I9">
        <v>4306</v>
      </c>
    </row>
    <row r="10" spans="1:9" x14ac:dyDescent="0.2">
      <c r="A10">
        <v>10</v>
      </c>
      <c r="B10">
        <v>1</v>
      </c>
      <c r="C10" t="s">
        <v>276</v>
      </c>
      <c r="D10" t="s">
        <v>3</v>
      </c>
      <c r="E10">
        <v>35.700000000000003</v>
      </c>
      <c r="F10">
        <v>0.8</v>
      </c>
      <c r="G10">
        <v>0.20100000000000001</v>
      </c>
      <c r="H10">
        <v>6.63</v>
      </c>
      <c r="I10">
        <v>142.19999999999999</v>
      </c>
    </row>
    <row r="11" spans="1:9" x14ac:dyDescent="0.2">
      <c r="A11">
        <v>4</v>
      </c>
      <c r="B11">
        <v>1</v>
      </c>
      <c r="C11" t="s">
        <v>277</v>
      </c>
      <c r="D11" t="s">
        <v>4</v>
      </c>
      <c r="E11">
        <v>9.39</v>
      </c>
      <c r="F11">
        <v>0.77</v>
      </c>
      <c r="G11">
        <v>0.34599999999999997</v>
      </c>
      <c r="H11">
        <v>2</v>
      </c>
      <c r="I11">
        <v>63.6</v>
      </c>
    </row>
    <row r="12" spans="1:9" x14ac:dyDescent="0.2">
      <c r="A12">
        <v>5</v>
      </c>
      <c r="B12">
        <v>1</v>
      </c>
      <c r="C12" t="s">
        <v>278</v>
      </c>
      <c r="D12" t="s">
        <v>5</v>
      </c>
      <c r="E12">
        <v>1.08</v>
      </c>
      <c r="F12">
        <v>0.76</v>
      </c>
      <c r="G12">
        <v>0.28000000000000003</v>
      </c>
      <c r="H12">
        <v>0.19</v>
      </c>
      <c r="I12">
        <v>4.55</v>
      </c>
    </row>
    <row r="13" spans="1:9" x14ac:dyDescent="0.2">
      <c r="A13">
        <v>6</v>
      </c>
      <c r="B13">
        <v>1</v>
      </c>
      <c r="C13" t="s">
        <v>279</v>
      </c>
      <c r="D13" t="s">
        <v>6</v>
      </c>
      <c r="E13">
        <v>474</v>
      </c>
      <c r="F13">
        <v>0.51</v>
      </c>
      <c r="G13">
        <v>0.25</v>
      </c>
      <c r="H13">
        <v>186</v>
      </c>
      <c r="I13">
        <v>1510</v>
      </c>
    </row>
    <row r="14" spans="1:9" x14ac:dyDescent="0.2">
      <c r="A14">
        <v>7</v>
      </c>
      <c r="B14">
        <v>1</v>
      </c>
      <c r="C14" t="s">
        <v>280</v>
      </c>
      <c r="D14" t="s">
        <v>7</v>
      </c>
      <c r="E14">
        <v>30</v>
      </c>
      <c r="F14">
        <v>0.95</v>
      </c>
      <c r="G14">
        <v>0.36599999999999999</v>
      </c>
      <c r="H14">
        <v>4.3</v>
      </c>
      <c r="I14">
        <v>147.5</v>
      </c>
    </row>
    <row r="15" spans="1:9" x14ac:dyDescent="0.2">
      <c r="A15">
        <v>8</v>
      </c>
      <c r="B15">
        <v>1</v>
      </c>
      <c r="C15" t="s">
        <v>281</v>
      </c>
      <c r="D15" t="s">
        <v>44</v>
      </c>
      <c r="E15">
        <v>77</v>
      </c>
      <c r="F15">
        <v>0.745</v>
      </c>
      <c r="G15">
        <v>0.20200000000000001</v>
      </c>
      <c r="H15">
        <v>36.299999999999997</v>
      </c>
      <c r="I15">
        <v>443</v>
      </c>
    </row>
    <row r="16" spans="1:9" x14ac:dyDescent="0.2">
      <c r="A16">
        <v>9</v>
      </c>
      <c r="B16">
        <v>1</v>
      </c>
      <c r="C16" t="s">
        <v>282</v>
      </c>
      <c r="D16" t="s">
        <v>45</v>
      </c>
      <c r="E16">
        <v>68</v>
      </c>
      <c r="F16">
        <v>0.71</v>
      </c>
      <c r="G16">
        <v>0.32700000000000001</v>
      </c>
      <c r="H16">
        <v>25.1</v>
      </c>
      <c r="I16">
        <v>285.8</v>
      </c>
    </row>
    <row r="17" spans="1:10" x14ac:dyDescent="0.2">
      <c r="A17">
        <v>11</v>
      </c>
      <c r="B17">
        <v>1</v>
      </c>
      <c r="C17" t="s">
        <v>283</v>
      </c>
      <c r="D17" t="s">
        <v>284</v>
      </c>
      <c r="E17">
        <v>245</v>
      </c>
      <c r="F17">
        <v>1.31</v>
      </c>
      <c r="G17">
        <v>0.35099999999999998</v>
      </c>
      <c r="H17">
        <v>18.39</v>
      </c>
      <c r="I17">
        <v>2460.4</v>
      </c>
    </row>
    <row r="18" spans="1:10" x14ac:dyDescent="0.2">
      <c r="A18">
        <v>12</v>
      </c>
      <c r="B18">
        <v>1</v>
      </c>
      <c r="C18" t="s">
        <v>285</v>
      </c>
      <c r="D18" t="s">
        <v>286</v>
      </c>
      <c r="E18">
        <v>6.43</v>
      </c>
      <c r="F18">
        <v>0.52600000000000002</v>
      </c>
      <c r="G18">
        <v>0.31</v>
      </c>
      <c r="H18">
        <v>1.63</v>
      </c>
      <c r="I18">
        <v>13.39</v>
      </c>
    </row>
    <row r="19" spans="1:10" x14ac:dyDescent="0.2">
      <c r="A19">
        <v>13</v>
      </c>
      <c r="B19">
        <v>1</v>
      </c>
      <c r="C19" t="s">
        <v>287</v>
      </c>
      <c r="D19" t="s">
        <v>288</v>
      </c>
      <c r="E19">
        <v>17</v>
      </c>
      <c r="F19">
        <v>0.68100000000000005</v>
      </c>
      <c r="G19">
        <v>0.32400000000000001</v>
      </c>
      <c r="H19">
        <v>4.67</v>
      </c>
      <c r="I19">
        <v>73.3</v>
      </c>
    </row>
    <row r="20" spans="1:10" x14ac:dyDescent="0.2">
      <c r="A20">
        <v>19</v>
      </c>
      <c r="B20">
        <v>1</v>
      </c>
      <c r="C20" s="1" t="s">
        <v>318</v>
      </c>
      <c r="D20" t="s">
        <v>289</v>
      </c>
      <c r="E20">
        <v>29.7</v>
      </c>
      <c r="F20">
        <v>0.99399999999999999</v>
      </c>
      <c r="G20">
        <v>0</v>
      </c>
      <c r="H20">
        <v>1.57</v>
      </c>
      <c r="I20">
        <v>127.45</v>
      </c>
    </row>
    <row r="21" spans="1:10" x14ac:dyDescent="0.2">
      <c r="A21">
        <v>18</v>
      </c>
      <c r="B21">
        <v>1</v>
      </c>
      <c r="C21" t="s">
        <v>290</v>
      </c>
      <c r="D21" t="s">
        <v>8</v>
      </c>
      <c r="E21">
        <v>0.60899999999999999</v>
      </c>
      <c r="F21">
        <v>0.88</v>
      </c>
      <c r="G21">
        <v>0.46100000000000002</v>
      </c>
      <c r="H21">
        <v>0.13</v>
      </c>
      <c r="I21">
        <v>5.15</v>
      </c>
    </row>
    <row r="22" spans="1:10" x14ac:dyDescent="0.2">
      <c r="A22">
        <v>14</v>
      </c>
      <c r="B22">
        <v>1</v>
      </c>
      <c r="C22" t="s">
        <v>291</v>
      </c>
      <c r="D22" t="s">
        <v>9</v>
      </c>
      <c r="E22">
        <v>3.15</v>
      </c>
      <c r="F22">
        <v>0.77600000000000002</v>
      </c>
      <c r="G22">
        <v>0.46</v>
      </c>
      <c r="H22">
        <v>1.03</v>
      </c>
      <c r="I22">
        <v>17.100000000000001</v>
      </c>
    </row>
    <row r="23" spans="1:10" x14ac:dyDescent="0.2">
      <c r="A23">
        <v>15</v>
      </c>
      <c r="B23">
        <v>1</v>
      </c>
      <c r="C23" t="s">
        <v>292</v>
      </c>
      <c r="D23" t="s">
        <v>293</v>
      </c>
      <c r="E23">
        <v>4.7699999999999996</v>
      </c>
      <c r="F23">
        <v>0.58199999999999996</v>
      </c>
      <c r="G23">
        <v>0.28000000000000003</v>
      </c>
      <c r="H23">
        <v>1.49</v>
      </c>
      <c r="I23">
        <v>19.02</v>
      </c>
    </row>
    <row r="24" spans="1:10" x14ac:dyDescent="0.2">
      <c r="A24">
        <v>16</v>
      </c>
      <c r="B24">
        <v>1</v>
      </c>
      <c r="C24" t="s">
        <v>294</v>
      </c>
      <c r="D24" t="s">
        <v>295</v>
      </c>
      <c r="E24">
        <v>10.199999999999999</v>
      </c>
      <c r="F24">
        <v>0.70799999999999996</v>
      </c>
      <c r="G24">
        <v>0.28000000000000003</v>
      </c>
      <c r="H24">
        <v>1.79</v>
      </c>
      <c r="I24">
        <v>30.5</v>
      </c>
    </row>
    <row r="25" spans="1:10" x14ac:dyDescent="0.2">
      <c r="A25">
        <v>17</v>
      </c>
      <c r="B25">
        <v>1</v>
      </c>
      <c r="C25" t="s">
        <v>296</v>
      </c>
      <c r="D25" t="s">
        <v>297</v>
      </c>
      <c r="E25">
        <v>0.19600000000000001</v>
      </c>
      <c r="F25">
        <v>0.63600000000000001</v>
      </c>
      <c r="G25">
        <v>0.34200000000000003</v>
      </c>
      <c r="H25">
        <v>4.2999999999999997E-2</v>
      </c>
      <c r="I25">
        <v>0.59599999999999997</v>
      </c>
    </row>
    <row r="26" spans="1:10" x14ac:dyDescent="0.2">
      <c r="A26">
        <v>20</v>
      </c>
      <c r="B26">
        <v>0</v>
      </c>
      <c r="C26" t="s">
        <v>298</v>
      </c>
      <c r="D26" t="s">
        <v>10</v>
      </c>
      <c r="J26" t="s">
        <v>33</v>
      </c>
    </row>
    <row r="27" spans="1:10" x14ac:dyDescent="0.2">
      <c r="A27">
        <v>21</v>
      </c>
      <c r="B27">
        <v>0</v>
      </c>
      <c r="C27" t="s">
        <v>299</v>
      </c>
      <c r="D27" t="s">
        <v>11</v>
      </c>
      <c r="J27" t="s">
        <v>33</v>
      </c>
    </row>
    <row r="28" spans="1:10" x14ac:dyDescent="0.2">
      <c r="A28">
        <v>22</v>
      </c>
      <c r="B28">
        <v>0</v>
      </c>
      <c r="C28" t="s">
        <v>300</v>
      </c>
      <c r="D28" t="s">
        <v>12</v>
      </c>
      <c r="J28" t="s">
        <v>33</v>
      </c>
    </row>
    <row r="29" spans="1:10" x14ac:dyDescent="0.2">
      <c r="A29">
        <v>23</v>
      </c>
      <c r="B29">
        <v>0</v>
      </c>
      <c r="C29" t="s">
        <v>301</v>
      </c>
      <c r="D29" t="s">
        <v>13</v>
      </c>
      <c r="J29" t="s">
        <v>33</v>
      </c>
    </row>
    <row r="30" spans="1:10" x14ac:dyDescent="0.2">
      <c r="A30">
        <v>24</v>
      </c>
      <c r="B30">
        <v>0</v>
      </c>
      <c r="C30" t="s">
        <v>302</v>
      </c>
      <c r="D30" t="s">
        <v>14</v>
      </c>
      <c r="J30" t="s">
        <v>33</v>
      </c>
    </row>
    <row r="31" spans="1:10" x14ac:dyDescent="0.2">
      <c r="A31">
        <v>25</v>
      </c>
      <c r="B31">
        <v>0</v>
      </c>
      <c r="C31" t="s">
        <v>303</v>
      </c>
      <c r="D31" t="s">
        <v>15</v>
      </c>
      <c r="J31" t="s">
        <v>33</v>
      </c>
    </row>
    <row r="32" spans="1:10" x14ac:dyDescent="0.2">
      <c r="A32">
        <v>26</v>
      </c>
      <c r="B32">
        <v>0</v>
      </c>
      <c r="C32" t="s">
        <v>304</v>
      </c>
      <c r="D32" t="s">
        <v>305</v>
      </c>
      <c r="J32" t="s">
        <v>34</v>
      </c>
    </row>
    <row r="33" spans="1:10" x14ac:dyDescent="0.2">
      <c r="A33">
        <v>27</v>
      </c>
      <c r="B33">
        <v>0</v>
      </c>
      <c r="C33" t="s">
        <v>306</v>
      </c>
      <c r="D33" t="s">
        <v>16</v>
      </c>
      <c r="J33" t="s">
        <v>33</v>
      </c>
    </row>
    <row r="34" spans="1:10" x14ac:dyDescent="0.2">
      <c r="A34">
        <v>28</v>
      </c>
      <c r="B34">
        <v>0</v>
      </c>
      <c r="C34" t="s">
        <v>307</v>
      </c>
      <c r="D34" t="s">
        <v>308</v>
      </c>
      <c r="J34" t="s">
        <v>35</v>
      </c>
    </row>
    <row r="36" spans="1:10" x14ac:dyDescent="0.2">
      <c r="A36">
        <v>12</v>
      </c>
      <c r="B36" t="s">
        <v>425</v>
      </c>
    </row>
    <row r="37" spans="1:10" x14ac:dyDescent="0.2">
      <c r="A37" t="s">
        <v>315</v>
      </c>
      <c r="B37" t="s">
        <v>109</v>
      </c>
      <c r="C37" s="93" t="s">
        <v>391</v>
      </c>
    </row>
    <row r="38" spans="1:10" x14ac:dyDescent="0.2">
      <c r="A38">
        <v>2</v>
      </c>
      <c r="B38" t="s">
        <v>322</v>
      </c>
    </row>
    <row r="39" spans="1:10" x14ac:dyDescent="0.2">
      <c r="A39">
        <v>0</v>
      </c>
      <c r="B39" t="s">
        <v>323</v>
      </c>
      <c r="C39">
        <v>1</v>
      </c>
    </row>
    <row r="40" spans="1:10" x14ac:dyDescent="0.2">
      <c r="A40">
        <v>1</v>
      </c>
      <c r="B40" t="s">
        <v>324</v>
      </c>
    </row>
    <row r="41" spans="1:10" x14ac:dyDescent="0.2">
      <c r="B41" t="s">
        <v>325</v>
      </c>
    </row>
    <row r="42" spans="1:10" x14ac:dyDescent="0.2">
      <c r="A42">
        <v>10</v>
      </c>
      <c r="B42" t="s">
        <v>326</v>
      </c>
    </row>
    <row r="43" spans="1:10" x14ac:dyDescent="0.2">
      <c r="A43">
        <v>0</v>
      </c>
      <c r="B43" t="s">
        <v>323</v>
      </c>
    </row>
    <row r="44" spans="1:10" x14ac:dyDescent="0.2">
      <c r="A44">
        <v>1</v>
      </c>
      <c r="B44" t="s">
        <v>327</v>
      </c>
      <c r="C44">
        <v>1</v>
      </c>
    </row>
    <row r="45" spans="1:10" x14ac:dyDescent="0.2">
      <c r="A45">
        <v>2</v>
      </c>
      <c r="B45" t="s">
        <v>328</v>
      </c>
    </row>
    <row r="46" spans="1:10" x14ac:dyDescent="0.2">
      <c r="A46">
        <v>3</v>
      </c>
      <c r="B46" t="s">
        <v>329</v>
      </c>
    </row>
    <row r="47" spans="1:10" x14ac:dyDescent="0.2">
      <c r="A47">
        <v>4</v>
      </c>
      <c r="B47" s="1" t="s">
        <v>621</v>
      </c>
    </row>
    <row r="48" spans="1:10" x14ac:dyDescent="0.2">
      <c r="A48">
        <v>5</v>
      </c>
      <c r="B48" t="s">
        <v>330</v>
      </c>
    </row>
    <row r="49" spans="1:3" x14ac:dyDescent="0.2">
      <c r="A49">
        <v>6</v>
      </c>
      <c r="B49" t="s">
        <v>331</v>
      </c>
    </row>
    <row r="50" spans="1:3" x14ac:dyDescent="0.2">
      <c r="A50">
        <v>7</v>
      </c>
      <c r="B50" t="s">
        <v>332</v>
      </c>
    </row>
    <row r="51" spans="1:3" x14ac:dyDescent="0.2">
      <c r="A51">
        <v>8</v>
      </c>
      <c r="B51" t="s">
        <v>619</v>
      </c>
    </row>
    <row r="52" spans="1:3" x14ac:dyDescent="0.2">
      <c r="A52">
        <v>9</v>
      </c>
      <c r="B52" s="1" t="s">
        <v>620</v>
      </c>
    </row>
    <row r="53" spans="1:3" x14ac:dyDescent="0.2">
      <c r="B53" t="s">
        <v>325</v>
      </c>
    </row>
    <row r="54" spans="1:3" x14ac:dyDescent="0.2">
      <c r="A54">
        <v>8</v>
      </c>
      <c r="B54" t="s">
        <v>333</v>
      </c>
    </row>
    <row r="55" spans="1:3" x14ac:dyDescent="0.2">
      <c r="A55">
        <v>0</v>
      </c>
      <c r="B55" t="s">
        <v>323</v>
      </c>
      <c r="C55">
        <v>1</v>
      </c>
    </row>
    <row r="56" spans="1:3" x14ac:dyDescent="0.2">
      <c r="A56">
        <v>1</v>
      </c>
      <c r="B56" t="s">
        <v>334</v>
      </c>
    </row>
    <row r="57" spans="1:3" x14ac:dyDescent="0.2">
      <c r="A57">
        <v>2</v>
      </c>
      <c r="B57" t="s">
        <v>328</v>
      </c>
    </row>
    <row r="58" spans="1:3" x14ac:dyDescent="0.2">
      <c r="A58">
        <v>3</v>
      </c>
      <c r="B58" t="s">
        <v>329</v>
      </c>
    </row>
    <row r="59" spans="1:3" x14ac:dyDescent="0.2">
      <c r="A59">
        <v>4</v>
      </c>
      <c r="B59" t="s">
        <v>335</v>
      </c>
    </row>
    <row r="60" spans="1:3" x14ac:dyDescent="0.2">
      <c r="A60">
        <v>5</v>
      </c>
      <c r="B60" t="s">
        <v>336</v>
      </c>
    </row>
    <row r="61" spans="1:3" x14ac:dyDescent="0.2">
      <c r="A61">
        <v>6</v>
      </c>
      <c r="B61" t="s">
        <v>331</v>
      </c>
    </row>
    <row r="62" spans="1:3" x14ac:dyDescent="0.2">
      <c r="A62">
        <v>7</v>
      </c>
      <c r="B62" t="s">
        <v>332</v>
      </c>
    </row>
    <row r="63" spans="1:3" x14ac:dyDescent="0.2">
      <c r="B63" t="s">
        <v>325</v>
      </c>
    </row>
    <row r="64" spans="1:3" x14ac:dyDescent="0.2">
      <c r="A64">
        <v>7</v>
      </c>
      <c r="B64" t="s">
        <v>337</v>
      </c>
    </row>
    <row r="65" spans="1:3" x14ac:dyDescent="0.2">
      <c r="A65">
        <v>0</v>
      </c>
      <c r="B65" t="s">
        <v>323</v>
      </c>
    </row>
    <row r="66" spans="1:3" x14ac:dyDescent="0.2">
      <c r="A66">
        <v>1</v>
      </c>
      <c r="B66" t="s">
        <v>338</v>
      </c>
    </row>
    <row r="67" spans="1:3" x14ac:dyDescent="0.2">
      <c r="A67">
        <v>2</v>
      </c>
      <c r="B67" t="s">
        <v>339</v>
      </c>
      <c r="C67">
        <v>1</v>
      </c>
    </row>
    <row r="68" spans="1:3" x14ac:dyDescent="0.2">
      <c r="A68">
        <v>3</v>
      </c>
      <c r="B68" t="s">
        <v>340</v>
      </c>
    </row>
    <row r="69" spans="1:3" x14ac:dyDescent="0.2">
      <c r="A69">
        <v>4</v>
      </c>
      <c r="B69" t="s">
        <v>341</v>
      </c>
    </row>
    <row r="70" spans="1:3" x14ac:dyDescent="0.2">
      <c r="A70">
        <v>5</v>
      </c>
      <c r="B70" t="s">
        <v>342</v>
      </c>
    </row>
    <row r="71" spans="1:3" x14ac:dyDescent="0.2">
      <c r="A71">
        <v>6</v>
      </c>
      <c r="B71" s="1" t="s">
        <v>618</v>
      </c>
    </row>
    <row r="72" spans="1:3" x14ac:dyDescent="0.2">
      <c r="B72" t="s">
        <v>325</v>
      </c>
    </row>
    <row r="73" spans="1:3" x14ac:dyDescent="0.2">
      <c r="A73">
        <v>5</v>
      </c>
      <c r="B73" t="s">
        <v>343</v>
      </c>
    </row>
    <row r="74" spans="1:3" x14ac:dyDescent="0.2">
      <c r="A74">
        <v>0</v>
      </c>
      <c r="B74" t="s">
        <v>323</v>
      </c>
    </row>
    <row r="75" spans="1:3" x14ac:dyDescent="0.2">
      <c r="A75">
        <v>1</v>
      </c>
      <c r="B75" t="s">
        <v>344</v>
      </c>
      <c r="C75">
        <v>1</v>
      </c>
    </row>
    <row r="76" spans="1:3" x14ac:dyDescent="0.2">
      <c r="A76">
        <v>2</v>
      </c>
      <c r="B76" t="s">
        <v>345</v>
      </c>
    </row>
    <row r="77" spans="1:3" x14ac:dyDescent="0.2">
      <c r="A77">
        <v>3</v>
      </c>
      <c r="B77" t="s">
        <v>346</v>
      </c>
    </row>
    <row r="78" spans="1:3" x14ac:dyDescent="0.2">
      <c r="A78">
        <v>4</v>
      </c>
      <c r="B78" s="1" t="s">
        <v>617</v>
      </c>
    </row>
    <row r="79" spans="1:3" x14ac:dyDescent="0.2">
      <c r="B79" t="s">
        <v>325</v>
      </c>
    </row>
    <row r="80" spans="1:3" x14ac:dyDescent="0.2">
      <c r="A80">
        <v>6</v>
      </c>
      <c r="B80" t="s">
        <v>347</v>
      </c>
    </row>
    <row r="81" spans="1:3" x14ac:dyDescent="0.2">
      <c r="A81">
        <v>0</v>
      </c>
      <c r="B81" t="s">
        <v>348</v>
      </c>
    </row>
    <row r="82" spans="1:3" x14ac:dyDescent="0.2">
      <c r="A82">
        <v>1</v>
      </c>
      <c r="B82" t="s">
        <v>349</v>
      </c>
      <c r="C82">
        <v>1</v>
      </c>
    </row>
    <row r="83" spans="1:3" x14ac:dyDescent="0.2">
      <c r="A83">
        <v>2</v>
      </c>
      <c r="B83" t="s">
        <v>350</v>
      </c>
    </row>
    <row r="84" spans="1:3" x14ac:dyDescent="0.2">
      <c r="A84">
        <v>3</v>
      </c>
      <c r="B84" t="s">
        <v>351</v>
      </c>
    </row>
    <row r="85" spans="1:3" x14ac:dyDescent="0.2">
      <c r="A85">
        <v>4</v>
      </c>
      <c r="B85" t="s">
        <v>352</v>
      </c>
    </row>
    <row r="86" spans="1:3" x14ac:dyDescent="0.2">
      <c r="A86">
        <v>5</v>
      </c>
      <c r="B86" t="s">
        <v>353</v>
      </c>
    </row>
    <row r="87" spans="1:3" x14ac:dyDescent="0.2">
      <c r="B87" t="s">
        <v>325</v>
      </c>
    </row>
    <row r="88" spans="1:3" x14ac:dyDescent="0.2">
      <c r="A88">
        <v>3</v>
      </c>
      <c r="B88" t="s">
        <v>354</v>
      </c>
    </row>
    <row r="89" spans="1:3" x14ac:dyDescent="0.2">
      <c r="A89">
        <v>0</v>
      </c>
      <c r="B89" t="s">
        <v>348</v>
      </c>
    </row>
    <row r="90" spans="1:3" x14ac:dyDescent="0.2">
      <c r="A90">
        <v>1</v>
      </c>
      <c r="B90" t="s">
        <v>355</v>
      </c>
      <c r="C90">
        <v>1</v>
      </c>
    </row>
    <row r="91" spans="1:3" x14ac:dyDescent="0.2">
      <c r="A91">
        <v>2</v>
      </c>
      <c r="B91" t="s">
        <v>356</v>
      </c>
    </row>
    <row r="92" spans="1:3" x14ac:dyDescent="0.2">
      <c r="B92" t="s">
        <v>325</v>
      </c>
    </row>
    <row r="93" spans="1:3" x14ac:dyDescent="0.2">
      <c r="A93">
        <v>3</v>
      </c>
      <c r="B93" t="s">
        <v>357</v>
      </c>
    </row>
    <row r="94" spans="1:3" x14ac:dyDescent="0.2">
      <c r="A94">
        <v>0</v>
      </c>
      <c r="B94" t="s">
        <v>348</v>
      </c>
    </row>
    <row r="95" spans="1:3" x14ac:dyDescent="0.2">
      <c r="A95">
        <v>1</v>
      </c>
      <c r="B95" t="s">
        <v>355</v>
      </c>
      <c r="C95">
        <v>1</v>
      </c>
    </row>
    <row r="96" spans="1:3" x14ac:dyDescent="0.2">
      <c r="A96">
        <v>2</v>
      </c>
      <c r="B96" t="s">
        <v>356</v>
      </c>
    </row>
    <row r="97" spans="1:3" x14ac:dyDescent="0.2">
      <c r="B97" t="s">
        <v>325</v>
      </c>
    </row>
    <row r="98" spans="1:3" x14ac:dyDescent="0.2">
      <c r="A98">
        <v>4</v>
      </c>
      <c r="B98" t="s">
        <v>358</v>
      </c>
    </row>
    <row r="99" spans="1:3" x14ac:dyDescent="0.2">
      <c r="A99">
        <v>0</v>
      </c>
      <c r="B99" t="s">
        <v>323</v>
      </c>
    </row>
    <row r="100" spans="1:3" x14ac:dyDescent="0.2">
      <c r="A100">
        <v>1</v>
      </c>
      <c r="B100" t="s">
        <v>359</v>
      </c>
      <c r="C100">
        <v>1</v>
      </c>
    </row>
    <row r="101" spans="1:3" x14ac:dyDescent="0.2">
      <c r="A101">
        <v>2</v>
      </c>
      <c r="B101" t="s">
        <v>360</v>
      </c>
    </row>
    <row r="102" spans="1:3" x14ac:dyDescent="0.2">
      <c r="A102">
        <v>3</v>
      </c>
      <c r="B102" t="s">
        <v>361</v>
      </c>
    </row>
    <row r="103" spans="1:3" x14ac:dyDescent="0.2">
      <c r="B103" t="s">
        <v>325</v>
      </c>
    </row>
    <row r="104" spans="1:3" x14ac:dyDescent="0.2">
      <c r="A104">
        <v>3</v>
      </c>
      <c r="B104" t="s">
        <v>362</v>
      </c>
    </row>
    <row r="105" spans="1:3" x14ac:dyDescent="0.2">
      <c r="A105">
        <v>0</v>
      </c>
      <c r="B105" t="s">
        <v>363</v>
      </c>
      <c r="C105">
        <v>1</v>
      </c>
    </row>
    <row r="106" spans="1:3" x14ac:dyDescent="0.2">
      <c r="A106">
        <v>1</v>
      </c>
      <c r="B106" t="s">
        <v>364</v>
      </c>
    </row>
    <row r="107" spans="1:3" x14ac:dyDescent="0.2">
      <c r="A107">
        <v>2</v>
      </c>
      <c r="B107" t="s">
        <v>365</v>
      </c>
    </row>
    <row r="108" spans="1:3" x14ac:dyDescent="0.2">
      <c r="B108" t="s">
        <v>325</v>
      </c>
    </row>
    <row r="109" spans="1:3" x14ac:dyDescent="0.2">
      <c r="A109">
        <v>2</v>
      </c>
      <c r="B109" t="s">
        <v>366</v>
      </c>
    </row>
    <row r="110" spans="1:3" x14ac:dyDescent="0.2">
      <c r="A110">
        <v>0</v>
      </c>
      <c r="B110" t="s">
        <v>367</v>
      </c>
    </row>
    <row r="111" spans="1:3" x14ac:dyDescent="0.2">
      <c r="A111">
        <v>1</v>
      </c>
      <c r="B111" t="s">
        <v>368</v>
      </c>
      <c r="C111">
        <v>1</v>
      </c>
    </row>
    <row r="113" spans="1:4" x14ac:dyDescent="0.2">
      <c r="A113">
        <v>3</v>
      </c>
      <c r="B113" t="s">
        <v>434</v>
      </c>
    </row>
    <row r="114" spans="1:4" x14ac:dyDescent="0.2">
      <c r="A114">
        <v>0</v>
      </c>
      <c r="B114" t="s">
        <v>435</v>
      </c>
    </row>
    <row r="115" spans="1:4" x14ac:dyDescent="0.2">
      <c r="A115">
        <v>1</v>
      </c>
      <c r="B115" t="s">
        <v>436</v>
      </c>
      <c r="C115">
        <v>1</v>
      </c>
    </row>
    <row r="116" spans="1:4" x14ac:dyDescent="0.2">
      <c r="A116">
        <v>2</v>
      </c>
      <c r="B116" s="1" t="s">
        <v>437</v>
      </c>
    </row>
    <row r="121" spans="1:4" x14ac:dyDescent="0.2">
      <c r="A121">
        <v>17</v>
      </c>
      <c r="B121" t="s">
        <v>369</v>
      </c>
    </row>
    <row r="122" spans="1:4" x14ac:dyDescent="0.2">
      <c r="A122" t="s">
        <v>315</v>
      </c>
      <c r="B122" t="s">
        <v>370</v>
      </c>
      <c r="C122" s="93" t="s">
        <v>371</v>
      </c>
      <c r="D122" s="93" t="s">
        <v>372</v>
      </c>
    </row>
    <row r="123" spans="1:4" x14ac:dyDescent="0.2">
      <c r="A123">
        <v>1</v>
      </c>
      <c r="B123" t="s">
        <v>398</v>
      </c>
      <c r="C123" s="93">
        <v>1</v>
      </c>
      <c r="D123" s="93">
        <v>0</v>
      </c>
    </row>
    <row r="124" spans="1:4" x14ac:dyDescent="0.2">
      <c r="A124">
        <f>A123+1</f>
        <v>2</v>
      </c>
      <c r="B124" t="s">
        <v>373</v>
      </c>
      <c r="C124">
        <v>1</v>
      </c>
      <c r="D124">
        <v>0.45</v>
      </c>
    </row>
    <row r="125" spans="1:4" x14ac:dyDescent="0.2">
      <c r="A125">
        <f t="shared" ref="A125:A136" si="0">A124+1</f>
        <v>3</v>
      </c>
      <c r="B125" t="s">
        <v>374</v>
      </c>
      <c r="C125">
        <v>1</v>
      </c>
      <c r="D125">
        <v>0.55000000000000004</v>
      </c>
    </row>
    <row r="126" spans="1:4" x14ac:dyDescent="0.2">
      <c r="A126">
        <f t="shared" si="0"/>
        <v>4</v>
      </c>
      <c r="B126" t="s">
        <v>375</v>
      </c>
      <c r="C126">
        <v>1</v>
      </c>
      <c r="D126">
        <v>0.26</v>
      </c>
    </row>
    <row r="127" spans="1:4" x14ac:dyDescent="0.2">
      <c r="A127">
        <f t="shared" si="0"/>
        <v>5</v>
      </c>
      <c r="B127" t="s">
        <v>376</v>
      </c>
      <c r="C127">
        <v>1</v>
      </c>
      <c r="D127">
        <v>0.1</v>
      </c>
    </row>
    <row r="128" spans="1:4" x14ac:dyDescent="0.2">
      <c r="A128">
        <f t="shared" si="0"/>
        <v>6</v>
      </c>
      <c r="B128" t="s">
        <v>382</v>
      </c>
      <c r="C128">
        <v>1</v>
      </c>
      <c r="D128">
        <v>0.12</v>
      </c>
    </row>
    <row r="129" spans="1:4" x14ac:dyDescent="0.2">
      <c r="A129">
        <f t="shared" si="0"/>
        <v>7</v>
      </c>
      <c r="B129" t="s">
        <v>383</v>
      </c>
      <c r="C129">
        <v>1</v>
      </c>
      <c r="D129">
        <v>0.15</v>
      </c>
    </row>
    <row r="130" spans="1:4" x14ac:dyDescent="0.2">
      <c r="A130">
        <f t="shared" si="0"/>
        <v>8</v>
      </c>
      <c r="B130" t="s">
        <v>384</v>
      </c>
      <c r="C130">
        <v>1</v>
      </c>
      <c r="D130">
        <v>0.15</v>
      </c>
    </row>
    <row r="131" spans="1:4" x14ac:dyDescent="0.2">
      <c r="A131">
        <f t="shared" si="0"/>
        <v>9</v>
      </c>
      <c r="B131" t="s">
        <v>385</v>
      </c>
      <c r="C131">
        <v>1</v>
      </c>
      <c r="D131">
        <v>0.22</v>
      </c>
    </row>
    <row r="132" spans="1:4" x14ac:dyDescent="0.2">
      <c r="A132">
        <f t="shared" si="0"/>
        <v>10</v>
      </c>
      <c r="B132" t="s">
        <v>386</v>
      </c>
      <c r="C132">
        <v>2.5000000000000001E-2</v>
      </c>
      <c r="D132">
        <v>0</v>
      </c>
    </row>
    <row r="133" spans="1:4" x14ac:dyDescent="0.2">
      <c r="A133">
        <f t="shared" si="0"/>
        <v>11</v>
      </c>
      <c r="B133" t="s">
        <v>387</v>
      </c>
      <c r="C133">
        <v>4</v>
      </c>
      <c r="D133">
        <v>0</v>
      </c>
    </row>
    <row r="134" spans="1:4" x14ac:dyDescent="0.2">
      <c r="A134">
        <f t="shared" si="0"/>
        <v>12</v>
      </c>
      <c r="B134" t="s">
        <v>388</v>
      </c>
      <c r="C134">
        <v>1</v>
      </c>
      <c r="D134">
        <v>0</v>
      </c>
    </row>
    <row r="135" spans="1:4" x14ac:dyDescent="0.2">
      <c r="A135">
        <f t="shared" si="0"/>
        <v>13</v>
      </c>
      <c r="B135" t="s">
        <v>389</v>
      </c>
      <c r="C135">
        <v>0.62</v>
      </c>
      <c r="D135">
        <v>0</v>
      </c>
    </row>
    <row r="136" spans="1:4" x14ac:dyDescent="0.2">
      <c r="A136">
        <f t="shared" si="0"/>
        <v>14</v>
      </c>
      <c r="B136" t="s">
        <v>394</v>
      </c>
      <c r="C136">
        <v>0.33000001311302185</v>
      </c>
      <c r="D136">
        <v>0</v>
      </c>
    </row>
    <row r="137" spans="1:4" x14ac:dyDescent="0.2">
      <c r="A137">
        <v>15</v>
      </c>
      <c r="B137" t="s">
        <v>396</v>
      </c>
      <c r="C137">
        <v>1.9299999475479126</v>
      </c>
      <c r="D137">
        <v>0</v>
      </c>
    </row>
    <row r="138" spans="1:4" x14ac:dyDescent="0.2">
      <c r="A138">
        <v>16</v>
      </c>
      <c r="B138" t="s">
        <v>395</v>
      </c>
      <c r="C138">
        <v>0.5899999737739563</v>
      </c>
      <c r="D138">
        <v>0</v>
      </c>
    </row>
    <row r="139" spans="1:4" x14ac:dyDescent="0.2">
      <c r="A139">
        <v>17</v>
      </c>
      <c r="B139" t="s">
        <v>397</v>
      </c>
      <c r="C139">
        <v>0.79000002145767212</v>
      </c>
      <c r="D139">
        <v>0</v>
      </c>
    </row>
  </sheetData>
  <phoneticPr fontId="1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73</vt:i4>
      </vt:variant>
    </vt:vector>
  </HeadingPairs>
  <TitlesOfParts>
    <vt:vector size="93" baseType="lpstr">
      <vt:lpstr>Case Data</vt:lpstr>
      <vt:lpstr>Inputs</vt:lpstr>
      <vt:lpstr>CalibFactors</vt:lpstr>
      <vt:lpstr>Verify</vt:lpstr>
      <vt:lpstr>Sensitivity</vt:lpstr>
      <vt:lpstr>Calibrations</vt:lpstr>
      <vt:lpstr>Hydraulics</vt:lpstr>
      <vt:lpstr>Overall Balances</vt:lpstr>
      <vt:lpstr>Segment Balances</vt:lpstr>
      <vt:lpstr>Summary Balances</vt:lpstr>
      <vt:lpstr>T tests</vt:lpstr>
      <vt:lpstr>Diagnostics</vt:lpstr>
      <vt:lpstr>Profiles</vt:lpstr>
      <vt:lpstr>Segment Network</vt:lpstr>
      <vt:lpstr>plot_plot</vt:lpstr>
      <vt:lpstr>Plot</vt:lpstr>
      <vt:lpstr>Plot Response</vt:lpstr>
      <vt:lpstr>Load Response</vt:lpstr>
      <vt:lpstr>Headers</vt:lpstr>
      <vt:lpstr>Key</vt:lpstr>
      <vt:lpstr>Atmos_Loads</vt:lpstr>
      <vt:lpstr>Calibration_Factors</vt:lpstr>
      <vt:lpstr>casefile</vt:lpstr>
      <vt:lpstr>categories</vt:lpstr>
      <vt:lpstr>ch2_high</vt:lpstr>
      <vt:lpstr>ch2_low</vt:lpstr>
      <vt:lpstr>ch2_var</vt:lpstr>
      <vt:lpstr>ch2_x</vt:lpstr>
      <vt:lpstr>ch2_xx</vt:lpstr>
      <vt:lpstr>ch2_y</vt:lpstr>
      <vt:lpstr>ch2_yy</vt:lpstr>
      <vt:lpstr>Global_Factors</vt:lpstr>
      <vt:lpstr>header_calib</vt:lpstr>
      <vt:lpstr>header_diag</vt:lpstr>
      <vt:lpstr>header_diag_0</vt:lpstr>
      <vt:lpstr>header_exchange</vt:lpstr>
      <vt:lpstr>header_gross</vt:lpstr>
      <vt:lpstr>header_gwbal</vt:lpstr>
      <vt:lpstr>header_hydrau</vt:lpstr>
      <vt:lpstr>header_in_areas</vt:lpstr>
      <vt:lpstr>header_in_calibfactors</vt:lpstr>
      <vt:lpstr>header_in_export</vt:lpstr>
      <vt:lpstr>header_in_last</vt:lpstr>
      <vt:lpstr>header_in_obswq</vt:lpstr>
      <vt:lpstr>header_in_top</vt:lpstr>
      <vt:lpstr>header_in_transport</vt:lpstr>
      <vt:lpstr>header_in_tribs</vt:lpstr>
      <vt:lpstr>header_listcal</vt:lpstr>
      <vt:lpstr>header_mbal</vt:lpstr>
      <vt:lpstr>header_morpho</vt:lpstr>
      <vt:lpstr>header_plot</vt:lpstr>
      <vt:lpstr>header_response</vt:lpstr>
      <vt:lpstr>header_segbal</vt:lpstr>
      <vt:lpstr>header_sensit</vt:lpstr>
      <vt:lpstr>header_ttest1</vt:lpstr>
      <vt:lpstr>header_ttest2</vt:lpstr>
      <vt:lpstr>header_verify</vt:lpstr>
      <vt:lpstr>header_wbal</vt:lpstr>
      <vt:lpstr>model_options</vt:lpstr>
      <vt:lpstr>Ncoef</vt:lpstr>
      <vt:lpstr>Ndiagnostics</vt:lpstr>
      <vt:lpstr>noptions</vt:lpstr>
      <vt:lpstr>notes</vt:lpstr>
      <vt:lpstr>Npipe</vt:lpstr>
      <vt:lpstr>Nseg</vt:lpstr>
      <vt:lpstr>Ntrib</vt:lpstr>
      <vt:lpstr>opt_1</vt:lpstr>
      <vt:lpstr>opt_10</vt:lpstr>
      <vt:lpstr>opt_11</vt:lpstr>
      <vt:lpstr>opt_2</vt:lpstr>
      <vt:lpstr>opt_3</vt:lpstr>
      <vt:lpstr>opt_4</vt:lpstr>
      <vt:lpstr>opt_5</vt:lpstr>
      <vt:lpstr>opt_6</vt:lpstr>
      <vt:lpstr>opt_7</vt:lpstr>
      <vt:lpstr>opt_8</vt:lpstr>
      <vt:lpstr>opt_9</vt:lpstr>
      <vt:lpstr>p_label</vt:lpstr>
      <vt:lpstr>p_obs</vt:lpstr>
      <vt:lpstr>p_obs_se</vt:lpstr>
      <vt:lpstr>p_pred</vt:lpstr>
      <vt:lpstr>p_pred_se</vt:lpstr>
      <vt:lpstr>p_segs</vt:lpstr>
      <vt:lpstr>Diagnostics!Print_Area</vt:lpstr>
      <vt:lpstr>Profiles!Print_Area</vt:lpstr>
      <vt:lpstr>'T tests'!Print_Area</vt:lpstr>
      <vt:lpstr>Segment_Data</vt:lpstr>
      <vt:lpstr>sigma</vt:lpstr>
      <vt:lpstr>Title</vt:lpstr>
      <vt:lpstr>tolerance</vt:lpstr>
      <vt:lpstr>Transport_Channels</vt:lpstr>
      <vt:lpstr>tributary_data</vt:lpstr>
      <vt:lpstr>version</vt:lpstr>
    </vt:vector>
  </TitlesOfParts>
  <Company>Environmental Engineer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W. Walker, Jr.</dc:creator>
  <cp:lastModifiedBy>Wolfe, Kurt</cp:lastModifiedBy>
  <cp:lastPrinted>2002-12-12T20:11:02Z</cp:lastPrinted>
  <dcterms:created xsi:type="dcterms:W3CDTF">2002-10-21T01:05:50Z</dcterms:created>
  <dcterms:modified xsi:type="dcterms:W3CDTF">2025-05-28T21:22:03Z</dcterms:modified>
</cp:coreProperties>
</file>